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OneDrive\Área de Trabalho\Dashboards\Ainda não postados\"/>
    </mc:Choice>
  </mc:AlternateContent>
  <xr:revisionPtr revIDLastSave="0" documentId="13_ncr:1_{A0EBBE51-6030-4AD3-8B6C-8E2BD4A52624}" xr6:coauthVersionLast="47" xr6:coauthVersionMax="47" xr10:uidLastSave="{00000000-0000-0000-0000-000000000000}"/>
  <bookViews>
    <workbookView xWindow="-108" yWindow="-108" windowWidth="23256" windowHeight="12456" xr2:uid="{77FAECE3-DE07-4214-8D7E-BD052262AA5B}"/>
  </bookViews>
  <sheets>
    <sheet name="Dashboard" sheetId="2" r:id="rId1"/>
    <sheet name="Base_D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1" l="1"/>
  <c r="G47" i="1" l="1"/>
  <c r="Q36" i="1"/>
  <c r="Q35" i="1"/>
  <c r="Q16" i="1"/>
  <c r="Q15" i="1"/>
  <c r="K36" i="1"/>
  <c r="K35" i="1"/>
  <c r="K16" i="1"/>
  <c r="K15" i="1"/>
  <c r="H36" i="1"/>
  <c r="N35" i="1" s="1"/>
  <c r="H16" i="1"/>
  <c r="H15" i="1"/>
  <c r="N15" i="1" l="1"/>
</calcChain>
</file>

<file path=xl/sharedStrings.xml><?xml version="1.0" encoding="utf-8"?>
<sst xmlns="http://schemas.openxmlformats.org/spreadsheetml/2006/main" count="46" uniqueCount="24">
  <si>
    <t>BCL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</si>
  <si>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</si>
  <si>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</si>
  <si>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</si>
  <si>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</si>
  <si>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</si>
  <si>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</si>
  <si>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</si>
  <si>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</si>
  <si>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</si>
  <si>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</si>
  <si>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</si>
  <si>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</si>
  <si>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2025 (mm)</t>
  </si>
  <si>
    <t>2026 (mm)</t>
  </si>
  <si>
    <t>DRM</t>
  </si>
  <si>
    <t>Mês</t>
  </si>
  <si>
    <t>Acumulado 2025</t>
  </si>
  <si>
    <t>Acumulado 2026</t>
  </si>
  <si>
    <t>Média 2025</t>
  </si>
  <si>
    <t>Média 2026</t>
  </si>
  <si>
    <t>Variação</t>
  </si>
  <si>
    <t>max 2025</t>
  </si>
  <si>
    <t>max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</si>
</sst>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Base_Dados!$D$7</c:f>
              <c:strCache>
                <c:ptCount val="1"/>
                <c:pt idx="0">
                  <c:v>2025 (mm)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Base_Dados!$C$8:$C$16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cat>
          <c:val>
            <c:numRef>
              <c:f>Base_Dados!$D$8:$D$16</c:f>
              <c:numCache>
                <c:formatCode>General</c:formatCode>
                <c:ptCount val="9"/>
                <c:pt idx="0">
                  <c:v>264</c:v>
                </c:pt>
                <c:pt idx="1">
                  <c:v>37</c:v>
                </c:pt>
                <c:pt idx="2">
                  <c:v>81</c:v>
                </c:pt>
                <c:pt idx="3">
                  <c:v>44</c:v>
                </c:pt>
                <c:pt idx="4">
                  <c:v>43</c:v>
                </c:pt>
                <c:pt idx="5">
                  <c:v>25</c:v>
                </c:pt>
                <c:pt idx="6">
                  <c:v>67</c:v>
                </c:pt>
                <c:pt idx="7">
                  <c:v>44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D-43C8-94CA-3C291923B2D2}"/>
            </c:ext>
          </c:extLst>
        </c:ser>
        <c:ser>
          <c:idx val="1"/>
          <c:order val="1"/>
          <c:tx>
            <c:strRef>
              <c:f>Base_Dados!$E$7</c:f>
              <c:strCache>
                <c:ptCount val="1"/>
                <c:pt idx="0">
                  <c:v>2026 (mm)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Base_Dados!$C$8:$C$16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cat>
          <c:val>
            <c:numRef>
              <c:f>Base_Dados!$E$8:$E$16</c:f>
              <c:numCache>
                <c:formatCode>General</c:formatCode>
                <c:ptCount val="9"/>
                <c:pt idx="0">
                  <c:v>429.5</c:v>
                </c:pt>
                <c:pt idx="1">
                  <c:v>236.5</c:v>
                </c:pt>
                <c:pt idx="2">
                  <c:v>73</c:v>
                </c:pt>
                <c:pt idx="3">
                  <c:v>53</c:v>
                </c:pt>
                <c:pt idx="4">
                  <c:v>25</c:v>
                </c:pt>
                <c:pt idx="5">
                  <c:v>67</c:v>
                </c:pt>
                <c:pt idx="6">
                  <c:v>48</c:v>
                </c:pt>
                <c:pt idx="7">
                  <c:v>10.5</c:v>
                </c:pt>
                <c:pt idx="8">
                  <c:v>56.75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D-43C8-94CA-3C291923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1504"/>
        <c:axId val="36564192"/>
      </c:barChart>
      <c:catAx>
        <c:axId val="185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64192"/>
        <c:crosses val="autoZero"/>
        <c:auto val="1"/>
        <c:lblAlgn val="ctr"/>
        <c:lblOffset val="100"/>
        <c:noMultiLvlLbl val="0"/>
      </c:catAx>
      <c:valAx>
        <c:axId val="3656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1150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Base_Dados!$D$27</c:f>
              <c:strCache>
                <c:ptCount val="1"/>
                <c:pt idx="0">
                  <c:v>2025 (mm)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Base_Dados!$C$28:$C$36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cat>
          <c:val>
            <c:numRef>
              <c:f>Base_Dados!$D$28:$D$36</c:f>
              <c:numCache>
                <c:formatCode>General</c:formatCode>
                <c:ptCount val="9"/>
                <c:pt idx="0">
                  <c:v>265</c:v>
                </c:pt>
                <c:pt idx="1">
                  <c:v>37</c:v>
                </c:pt>
                <c:pt idx="2">
                  <c:v>80.5</c:v>
                </c:pt>
                <c:pt idx="3">
                  <c:v>49</c:v>
                </c:pt>
                <c:pt idx="4">
                  <c:v>35</c:v>
                </c:pt>
                <c:pt idx="5">
                  <c:v>26</c:v>
                </c:pt>
                <c:pt idx="6">
                  <c:v>19</c:v>
                </c:pt>
                <c:pt idx="7">
                  <c:v>33</c:v>
                </c:pt>
                <c:pt idx="8">
                  <c:v>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5-4870-A672-286DFBDD8297}"/>
            </c:ext>
          </c:extLst>
        </c:ser>
        <c:ser>
          <c:idx val="1"/>
          <c:order val="1"/>
          <c:tx>
            <c:strRef>
              <c:f>Base_Dados!$E$27</c:f>
              <c:strCache>
                <c:ptCount val="1"/>
                <c:pt idx="0">
                  <c:v>2026 (mm)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Base_Dados!$C$28:$C$36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cat>
          <c:val>
            <c:numRef>
              <c:f>Base_Dados!$E$28:$E$36</c:f>
              <c:numCache>
                <c:formatCode>General</c:formatCode>
                <c:ptCount val="9"/>
                <c:pt idx="0">
                  <c:v>409.25</c:v>
                </c:pt>
                <c:pt idx="1">
                  <c:v>198.75</c:v>
                </c:pt>
                <c:pt idx="2">
                  <c:v>50</c:v>
                </c:pt>
                <c:pt idx="3">
                  <c:v>14.75</c:v>
                </c:pt>
                <c:pt idx="4">
                  <c:v>56</c:v>
                </c:pt>
                <c:pt idx="5">
                  <c:v>58</c:v>
                </c:pt>
                <c:pt idx="6">
                  <c:v>25</c:v>
                </c:pt>
                <c:pt idx="7">
                  <c:v>44</c:v>
                </c:pt>
                <c:pt idx="8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5-4870-A672-286DFBDD8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9248"/>
        <c:axId val="1811577312"/>
      </c:barChart>
      <c:catAx>
        <c:axId val="186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577312"/>
        <c:crosses val="autoZero"/>
        <c:auto val="1"/>
        <c:lblAlgn val="ctr"/>
        <c:lblOffset val="100"/>
        <c:noMultiLvlLbl val="0"/>
      </c:catAx>
      <c:valAx>
        <c:axId val="181157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924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>
                <a:solidFill>
                  <a:schemeClr val="bg2">
                    <a:lumMod val="25000"/>
                  </a:schemeClr>
                </a:solidFill>
                <a:effectLst/>
              </a:rPr>
              <a:t>ACUMULADO</a:t>
            </a:r>
            <a:r>
              <a:rPr lang="pt-BR" sz="1400" b="1" baseline="0">
                <a:solidFill>
                  <a:schemeClr val="bg2">
                    <a:lumMod val="25000"/>
                  </a:schemeClr>
                </a:solidFill>
                <a:effectLst/>
              </a:rPr>
              <a:t> </a:t>
            </a:r>
            <a:r>
              <a:rPr lang="pt-BR" sz="1400" b="1">
                <a:solidFill>
                  <a:schemeClr val="bg2">
                    <a:lumMod val="25000"/>
                  </a:schemeClr>
                </a:solidFill>
                <a:effectLst/>
              </a:rPr>
              <a:t>(mm)</a:t>
            </a:r>
            <a:endParaRPr lang="pt-BR" sz="1400">
              <a:solidFill>
                <a:schemeClr val="bg2">
                  <a:lumMod val="25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0.23364294332263766"/>
          <c:y val="0.1014212489495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75-43AA-B508-B2C2360A49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75-43AA-B508-B2C2360A49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Base_Dados!$G$15:$G$16</c:f>
              <c:strCache>
                <c:ptCount val="2"/>
                <c:pt idx="0">
                  <c:v>Acumulado 2025</c:v>
                </c:pt>
                <c:pt idx="1">
                  <c:v>Acumulado 2026</c:v>
                </c:pt>
              </c:strCache>
            </c:strRef>
          </c:cat>
          <c:val>
            <c:numRef>
              <c:f>Base_Dados!$H$15:$H$16</c:f>
              <c:numCache>
                <c:formatCode>General</c:formatCode>
                <c:ptCount val="2"/>
                <c:pt idx="0">
                  <c:v>620</c:v>
                </c:pt>
                <c:pt idx="1">
                  <c:v>999.25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5-43AA-B508-B2C2360A4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9909600"/>
        <c:axId val="36613152"/>
      </c:barChart>
      <c:catAx>
        <c:axId val="211990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13152"/>
        <c:crosses val="autoZero"/>
        <c:auto val="1"/>
        <c:lblAlgn val="ctr"/>
        <c:lblOffset val="100"/>
        <c:noMultiLvlLbl val="0"/>
      </c:catAx>
      <c:valAx>
        <c:axId val="36613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990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>
                <a:solidFill>
                  <a:schemeClr val="bg2">
                    <a:lumMod val="25000"/>
                  </a:schemeClr>
                </a:solidFill>
                <a:effectLst/>
              </a:rPr>
              <a:t>ACUMULADO</a:t>
            </a:r>
            <a:r>
              <a:rPr lang="pt-BR" sz="1400" b="1" baseline="0">
                <a:solidFill>
                  <a:schemeClr val="bg2">
                    <a:lumMod val="25000"/>
                  </a:schemeClr>
                </a:solidFill>
                <a:effectLst/>
              </a:rPr>
              <a:t> </a:t>
            </a:r>
            <a:r>
              <a:rPr lang="pt-BR" sz="1400" b="1">
                <a:solidFill>
                  <a:schemeClr val="bg2">
                    <a:lumMod val="25000"/>
                  </a:schemeClr>
                </a:solidFill>
                <a:effectLst/>
              </a:rPr>
              <a:t>(mm)</a:t>
            </a:r>
            <a:endParaRPr lang="pt-BR" sz="1400">
              <a:solidFill>
                <a:schemeClr val="bg2">
                  <a:lumMod val="25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0.23364294332263766"/>
          <c:y val="0.1014212489495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89-46E7-B697-748C151FFA5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89-46E7-B697-748C151FFA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Base_Dados!$G$35:$G$36</c:f>
              <c:strCache>
                <c:ptCount val="2"/>
                <c:pt idx="0">
                  <c:v>Acumulado 2025</c:v>
                </c:pt>
                <c:pt idx="1">
                  <c:v>Acumulado 2026</c:v>
                </c:pt>
              </c:strCache>
            </c:strRef>
          </c:cat>
          <c:val>
            <c:numRef>
              <c:f>Base_Dados!$H$35:$H$36</c:f>
              <c:numCache>
                <c:formatCode>General</c:formatCode>
                <c:ptCount val="2"/>
                <c:pt idx="0" formatCode="0">
                  <c:v>554.75</c:v>
                </c:pt>
                <c:pt idx="1">
                  <c:v>908.25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89-46E7-B697-748C151FF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9909600"/>
        <c:axId val="36613152"/>
      </c:barChart>
      <c:catAx>
        <c:axId val="211990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13152"/>
        <c:crosses val="autoZero"/>
        <c:auto val="1"/>
        <c:lblAlgn val="ctr"/>
        <c:lblOffset val="100"/>
        <c:noMultiLvlLbl val="0"/>
      </c:catAx>
      <c:valAx>
        <c:axId val="36613152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211990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1.xml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microsoft.com/office/2007/relationships/hdphoto" Target="../media/hdphoto2.wdp"/><Relationship Id="rId5" Type="http://schemas.openxmlformats.org/officeDocument/2006/relationships/chart" Target="../charts/chart3.xml"/><Relationship Id="rId10" Type="http://schemas.openxmlformats.org/officeDocument/2006/relationships/image" Target="../media/image5.png"/><Relationship Id="rId4" Type="http://schemas.openxmlformats.org/officeDocument/2006/relationships/chart" Target="../charts/chart2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33617</xdr:rowOff>
    </xdr:from>
    <xdr:to>
      <xdr:col>32</xdr:col>
      <xdr:colOff>217953</xdr:colOff>
      <xdr:row>58</xdr:row>
      <xdr:rowOff>122225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383D9B8-E71B-47FF-B5A3-E5A01F1833FB}"/>
            </a:ext>
          </a:extLst>
        </xdr:cNvPr>
        <xdr:cNvSpPr/>
      </xdr:nvSpPr>
      <xdr:spPr>
        <a:xfrm>
          <a:off x="56029" y="33617"/>
          <a:ext cx="19525689" cy="11137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050"/>
        </a:p>
      </xdr:txBody>
    </xdr:sp>
    <xdr:clientData/>
  </xdr:twoCellAnchor>
  <xdr:twoCellAnchor>
    <xdr:from>
      <xdr:col>0</xdr:col>
      <xdr:colOff>0</xdr:colOff>
      <xdr:row>0</xdr:row>
      <xdr:rowOff>40022</xdr:rowOff>
    </xdr:from>
    <xdr:to>
      <xdr:col>10</xdr:col>
      <xdr:colOff>581298</xdr:colOff>
      <xdr:row>4</xdr:row>
      <xdr:rowOff>1</xdr:rowOff>
    </xdr:to>
    <xdr:sp macro="" textlink="">
      <xdr:nvSpPr>
        <xdr:cNvPr id="3" name="CaixaDeTexto 27">
          <a:extLst>
            <a:ext uri="{FF2B5EF4-FFF2-40B4-BE49-F238E27FC236}">
              <a16:creationId xmlns:a16="http://schemas.microsoft.com/office/drawing/2014/main" id="{E457CA2B-4DEF-4866-91FC-B5DE55E00930}"/>
            </a:ext>
          </a:extLst>
        </xdr:cNvPr>
        <xdr:cNvSpPr txBox="1"/>
      </xdr:nvSpPr>
      <xdr:spPr>
        <a:xfrm>
          <a:off x="0" y="40022"/>
          <a:ext cx="6704512" cy="721979"/>
        </a:xfrm>
        <a:prstGeom prst="rect">
          <a:avLst/>
        </a:prstGeom>
        <a:noFill/>
        <a:ln>
          <a:noFill/>
        </a:ln>
      </xdr:spPr>
      <xdr:txBody>
        <a:bodyPr wrap="square" rtlCol="0" anchor="b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200000"/>
            </a:lnSpc>
          </a:pPr>
          <a:r>
            <a:rPr lang="pt-BR" sz="1800" b="1">
              <a:solidFill>
                <a:schemeClr val="bg2">
                  <a:lumMod val="25000"/>
                </a:schemeClr>
              </a:solidFill>
            </a:rPr>
            <a:t>CONTROLE PLUVIOMÉTRICO</a:t>
          </a:r>
        </a:p>
        <a:p>
          <a:pPr algn="ctr"/>
          <a:r>
            <a:rPr lang="pt-BR" sz="1200" b="1">
              <a:solidFill>
                <a:schemeClr val="accent2"/>
              </a:solidFill>
            </a:rPr>
            <a:t>MONITORAMENTO</a:t>
          </a:r>
          <a:r>
            <a:rPr lang="pt-BR" sz="1200" b="1" baseline="0">
              <a:solidFill>
                <a:schemeClr val="accent2"/>
              </a:solidFill>
            </a:rPr>
            <a:t> DE CHUVAS</a:t>
          </a:r>
          <a:endParaRPr lang="pt-BR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28</xdr:col>
      <xdr:colOff>18029</xdr:colOff>
      <xdr:row>1</xdr:row>
      <xdr:rowOff>96850</xdr:rowOff>
    </xdr:from>
    <xdr:to>
      <xdr:col>30</xdr:col>
      <xdr:colOff>484826</xdr:colOff>
      <xdr:row>4</xdr:row>
      <xdr:rowOff>107130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010191D7-C120-4D51-B444-C3661AD0FEBC}"/>
            </a:ext>
          </a:extLst>
        </xdr:cNvPr>
        <xdr:cNvGrpSpPr/>
      </xdr:nvGrpSpPr>
      <xdr:grpSpPr>
        <a:xfrm>
          <a:off x="17086829" y="281907"/>
          <a:ext cx="1685997" cy="565452"/>
          <a:chOff x="6885432" y="2531268"/>
          <a:chExt cx="1677256" cy="632205"/>
        </a:xfrm>
      </xdr:grpSpPr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BAF2E3B0-E4AF-6026-3D5D-246FBB21FDBE}"/>
              </a:ext>
            </a:extLst>
          </xdr:cNvPr>
          <xdr:cNvCxnSpPr>
            <a:cxnSpLocks/>
          </xdr:cNvCxnSpPr>
        </xdr:nvCxnSpPr>
        <xdr:spPr>
          <a:xfrm flipH="1" flipV="1">
            <a:off x="8259604" y="2788920"/>
            <a:ext cx="303084" cy="374553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2EEB50A6-9778-FDCF-FD65-50B4D55DFBDE}"/>
              </a:ext>
            </a:extLst>
          </xdr:cNvPr>
          <xdr:cNvCxnSpPr>
            <a:cxnSpLocks/>
          </xdr:cNvCxnSpPr>
        </xdr:nvCxnSpPr>
        <xdr:spPr>
          <a:xfrm flipH="1">
            <a:off x="7469981" y="2788920"/>
            <a:ext cx="792957" cy="0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3B642F78-4110-F2CF-D4D6-ABDA3A4E28E0}"/>
              </a:ext>
            </a:extLst>
          </xdr:cNvPr>
          <xdr:cNvCxnSpPr>
            <a:cxnSpLocks/>
          </xdr:cNvCxnSpPr>
        </xdr:nvCxnSpPr>
        <xdr:spPr>
          <a:xfrm flipH="1" flipV="1">
            <a:off x="7293769" y="2531269"/>
            <a:ext cx="176212" cy="257651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20D1626F-EFF3-456F-FAA0-6AF3F5684F26}"/>
              </a:ext>
            </a:extLst>
          </xdr:cNvPr>
          <xdr:cNvCxnSpPr>
            <a:cxnSpLocks/>
          </xdr:cNvCxnSpPr>
        </xdr:nvCxnSpPr>
        <xdr:spPr>
          <a:xfrm>
            <a:off x="6885432" y="2531268"/>
            <a:ext cx="408337" cy="1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50DC696E-71CE-DCBE-1582-B06347F48B45}"/>
              </a:ext>
            </a:extLst>
          </xdr:cNvPr>
          <xdr:cNvCxnSpPr>
            <a:cxnSpLocks/>
          </xdr:cNvCxnSpPr>
        </xdr:nvCxnSpPr>
        <xdr:spPr>
          <a:xfrm flipH="1" flipV="1">
            <a:off x="7786640" y="2660094"/>
            <a:ext cx="303084" cy="451961"/>
          </a:xfrm>
          <a:prstGeom prst="line">
            <a:avLst/>
          </a:prstGeom>
          <a:ln w="6350">
            <a:solidFill>
              <a:schemeClr val="accent2"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397564</xdr:colOff>
      <xdr:row>4</xdr:row>
      <xdr:rowOff>91109</xdr:rowOff>
    </xdr:from>
    <xdr:to>
      <xdr:col>14</xdr:col>
      <xdr:colOff>425824</xdr:colOff>
      <xdr:row>11</xdr:row>
      <xdr:rowOff>47625</xdr:rowOff>
    </xdr:to>
    <xdr:sp macro="" textlink="">
      <xdr:nvSpPr>
        <xdr:cNvPr id="10" name="Retângulo: Cantos Arredondados 11">
          <a:extLst>
            <a:ext uri="{FF2B5EF4-FFF2-40B4-BE49-F238E27FC236}">
              <a16:creationId xmlns:a16="http://schemas.microsoft.com/office/drawing/2014/main" id="{8AA5B15C-194F-4E79-ACFC-FE8779EBF246}"/>
            </a:ext>
          </a:extLst>
        </xdr:cNvPr>
        <xdr:cNvSpPr/>
      </xdr:nvSpPr>
      <xdr:spPr>
        <a:xfrm>
          <a:off x="397564" y="1234109"/>
          <a:ext cx="8499907" cy="1290016"/>
        </a:xfrm>
        <a:custGeom>
          <a:avLst/>
          <a:gdLst>
            <a:gd name="csX0" fmla="*/ 0 w 8915401"/>
            <a:gd name="csY0" fmla="*/ 257448 h 1544658"/>
            <a:gd name="csX1" fmla="*/ 257448 w 8915401"/>
            <a:gd name="csY1" fmla="*/ 0 h 1544658"/>
            <a:gd name="csX2" fmla="*/ 8657953 w 8915401"/>
            <a:gd name="csY2" fmla="*/ 0 h 1544658"/>
            <a:gd name="csX3" fmla="*/ 8915401 w 8915401"/>
            <a:gd name="csY3" fmla="*/ 257448 h 1544658"/>
            <a:gd name="csX4" fmla="*/ 8915401 w 8915401"/>
            <a:gd name="csY4" fmla="*/ 1287210 h 1544658"/>
            <a:gd name="csX5" fmla="*/ 8657953 w 8915401"/>
            <a:gd name="csY5" fmla="*/ 1544658 h 1544658"/>
            <a:gd name="csX6" fmla="*/ 257448 w 8915401"/>
            <a:gd name="csY6" fmla="*/ 1544658 h 1544658"/>
            <a:gd name="csX7" fmla="*/ 0 w 8915401"/>
            <a:gd name="csY7" fmla="*/ 1287210 h 1544658"/>
            <a:gd name="csX8" fmla="*/ 0 w 8915401"/>
            <a:gd name="csY8" fmla="*/ 257448 h 1544658"/>
            <a:gd name="csX0" fmla="*/ 0 w 8919062"/>
            <a:gd name="csY0" fmla="*/ 257448 h 1544658"/>
            <a:gd name="csX1" fmla="*/ 257448 w 8919062"/>
            <a:gd name="csY1" fmla="*/ 0 h 1544658"/>
            <a:gd name="csX2" fmla="*/ 8657953 w 8919062"/>
            <a:gd name="csY2" fmla="*/ 0 h 1544658"/>
            <a:gd name="csX3" fmla="*/ 8915401 w 8919062"/>
            <a:gd name="csY3" fmla="*/ 257448 h 1544658"/>
            <a:gd name="csX4" fmla="*/ 8915401 w 8919062"/>
            <a:gd name="csY4" fmla="*/ 1287210 h 1544658"/>
            <a:gd name="csX5" fmla="*/ 8807632 w 8919062"/>
            <a:gd name="csY5" fmla="*/ 1531051 h 1544658"/>
            <a:gd name="csX6" fmla="*/ 257448 w 8919062"/>
            <a:gd name="csY6" fmla="*/ 1544658 h 1544658"/>
            <a:gd name="csX7" fmla="*/ 0 w 8919062"/>
            <a:gd name="csY7" fmla="*/ 1287210 h 1544658"/>
            <a:gd name="csX8" fmla="*/ 0 w 8919062"/>
            <a:gd name="csY8" fmla="*/ 257448 h 1544658"/>
            <a:gd name="csX0" fmla="*/ 0 w 8922401"/>
            <a:gd name="csY0" fmla="*/ 257448 h 1544658"/>
            <a:gd name="csX1" fmla="*/ 257448 w 8922401"/>
            <a:gd name="csY1" fmla="*/ 0 h 1544658"/>
            <a:gd name="csX2" fmla="*/ 8657953 w 8922401"/>
            <a:gd name="csY2" fmla="*/ 0 h 1544658"/>
            <a:gd name="csX3" fmla="*/ 8915401 w 8922401"/>
            <a:gd name="csY3" fmla="*/ 257448 h 1544658"/>
            <a:gd name="csX4" fmla="*/ 8919744 w 8922401"/>
            <a:gd name="csY4" fmla="*/ 1395449 h 1544658"/>
            <a:gd name="csX5" fmla="*/ 8807632 w 8922401"/>
            <a:gd name="csY5" fmla="*/ 1531051 h 1544658"/>
            <a:gd name="csX6" fmla="*/ 257448 w 8922401"/>
            <a:gd name="csY6" fmla="*/ 1544658 h 1544658"/>
            <a:gd name="csX7" fmla="*/ 0 w 8922401"/>
            <a:gd name="csY7" fmla="*/ 1287210 h 1544658"/>
            <a:gd name="csX8" fmla="*/ 0 w 8922401"/>
            <a:gd name="csY8" fmla="*/ 257448 h 1544658"/>
            <a:gd name="csX0" fmla="*/ 0 w 8922401"/>
            <a:gd name="csY0" fmla="*/ 257448 h 1553317"/>
            <a:gd name="csX1" fmla="*/ 257448 w 8922401"/>
            <a:gd name="csY1" fmla="*/ 0 h 1553317"/>
            <a:gd name="csX2" fmla="*/ 8657953 w 8922401"/>
            <a:gd name="csY2" fmla="*/ 0 h 1553317"/>
            <a:gd name="csX3" fmla="*/ 8915401 w 8922401"/>
            <a:gd name="csY3" fmla="*/ 257448 h 1553317"/>
            <a:gd name="csX4" fmla="*/ 8919744 w 8922401"/>
            <a:gd name="csY4" fmla="*/ 1395449 h 1553317"/>
            <a:gd name="csX5" fmla="*/ 8807632 w 8922401"/>
            <a:gd name="csY5" fmla="*/ 1531051 h 1553317"/>
            <a:gd name="csX6" fmla="*/ 166261 w 8922401"/>
            <a:gd name="csY6" fmla="*/ 1553317 h 1553317"/>
            <a:gd name="csX7" fmla="*/ 0 w 8922401"/>
            <a:gd name="csY7" fmla="*/ 1287210 h 1553317"/>
            <a:gd name="csX8" fmla="*/ 0 w 8922401"/>
            <a:gd name="csY8" fmla="*/ 257448 h 1553317"/>
            <a:gd name="csX0" fmla="*/ 4343 w 8926744"/>
            <a:gd name="csY0" fmla="*/ 257448 h 1555477"/>
            <a:gd name="csX1" fmla="*/ 261791 w 8926744"/>
            <a:gd name="csY1" fmla="*/ 0 h 1555477"/>
            <a:gd name="csX2" fmla="*/ 8662296 w 8926744"/>
            <a:gd name="csY2" fmla="*/ 0 h 1555477"/>
            <a:gd name="csX3" fmla="*/ 8919744 w 8926744"/>
            <a:gd name="csY3" fmla="*/ 257448 h 1555477"/>
            <a:gd name="csX4" fmla="*/ 8924087 w 8926744"/>
            <a:gd name="csY4" fmla="*/ 1395449 h 1555477"/>
            <a:gd name="csX5" fmla="*/ 8811975 w 8926744"/>
            <a:gd name="csY5" fmla="*/ 1531051 h 1555477"/>
            <a:gd name="csX6" fmla="*/ 170604 w 8926744"/>
            <a:gd name="csY6" fmla="*/ 1553317 h 1555477"/>
            <a:gd name="csX7" fmla="*/ 0 w 8926744"/>
            <a:gd name="csY7" fmla="*/ 1438744 h 1555477"/>
            <a:gd name="csX8" fmla="*/ 4343 w 8926744"/>
            <a:gd name="csY8" fmla="*/ 257448 h 15554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8926744" h="1555477">
              <a:moveTo>
                <a:pt x="4343" y="257448"/>
              </a:moveTo>
              <a:cubicBezTo>
                <a:pt x="4343" y="115263"/>
                <a:pt x="119606" y="0"/>
                <a:pt x="261791" y="0"/>
              </a:cubicBezTo>
              <a:lnTo>
                <a:pt x="8662296" y="0"/>
              </a:lnTo>
              <a:cubicBezTo>
                <a:pt x="8804481" y="0"/>
                <a:pt x="8919744" y="115263"/>
                <a:pt x="8919744" y="257448"/>
              </a:cubicBezTo>
              <a:cubicBezTo>
                <a:pt x="8921192" y="636782"/>
                <a:pt x="8922639" y="1016115"/>
                <a:pt x="8924087" y="1395449"/>
              </a:cubicBezTo>
              <a:cubicBezTo>
                <a:pt x="8924087" y="1537634"/>
                <a:pt x="8954160" y="1531051"/>
                <a:pt x="8811975" y="1531051"/>
              </a:cubicBezTo>
              <a:lnTo>
                <a:pt x="170604" y="1553317"/>
              </a:lnTo>
              <a:cubicBezTo>
                <a:pt x="28419" y="1553317"/>
                <a:pt x="0" y="1580929"/>
                <a:pt x="0" y="1438744"/>
              </a:cubicBezTo>
              <a:cubicBezTo>
                <a:pt x="1448" y="1044979"/>
                <a:pt x="2895" y="651213"/>
                <a:pt x="4343" y="257448"/>
              </a:cubicBezTo>
              <a:close/>
            </a:path>
          </a:pathLst>
        </a:cu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397564</xdr:colOff>
      <xdr:row>4</xdr:row>
      <xdr:rowOff>91109</xdr:rowOff>
    </xdr:from>
    <xdr:to>
      <xdr:col>14</xdr:col>
      <xdr:colOff>425824</xdr:colOff>
      <xdr:row>5</xdr:row>
      <xdr:rowOff>176834</xdr:rowOff>
    </xdr:to>
    <xdr:sp macro="" textlink="">
      <xdr:nvSpPr>
        <xdr:cNvPr id="11" name="Retângulo: Cantos Superiores Arredondados 10">
          <a:extLst>
            <a:ext uri="{FF2B5EF4-FFF2-40B4-BE49-F238E27FC236}">
              <a16:creationId xmlns:a16="http://schemas.microsoft.com/office/drawing/2014/main" id="{08C36FF3-9C18-48EF-9713-CE945E23685D}"/>
            </a:ext>
          </a:extLst>
        </xdr:cNvPr>
        <xdr:cNvSpPr/>
      </xdr:nvSpPr>
      <xdr:spPr>
        <a:xfrm>
          <a:off x="397564" y="1234109"/>
          <a:ext cx="8499907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92765</xdr:colOff>
      <xdr:row>3</xdr:row>
      <xdr:rowOff>157369</xdr:rowOff>
    </xdr:from>
    <xdr:to>
      <xdr:col>4</xdr:col>
      <xdr:colOff>462170</xdr:colOff>
      <xdr:row>5</xdr:row>
      <xdr:rowOff>176418</xdr:rowOff>
    </xdr:to>
    <xdr:sp macro="" textlink="">
      <xdr:nvSpPr>
        <xdr:cNvPr id="12" name="CaixaDeTexto 27">
          <a:extLst>
            <a:ext uri="{FF2B5EF4-FFF2-40B4-BE49-F238E27FC236}">
              <a16:creationId xmlns:a16="http://schemas.microsoft.com/office/drawing/2014/main" id="{D447FB90-1D13-418E-B705-41176C9DDB3C}"/>
            </a:ext>
          </a:extLst>
        </xdr:cNvPr>
        <xdr:cNvSpPr txBox="1"/>
      </xdr:nvSpPr>
      <xdr:spPr>
        <a:xfrm>
          <a:off x="702365" y="1109869"/>
          <a:ext cx="2198205" cy="400049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200000"/>
            </a:lnSpc>
          </a:pPr>
          <a:r>
            <a:rPr lang="pt-BR" sz="1200" b="1">
              <a:solidFill>
                <a:schemeClr val="bg1"/>
              </a:solidFill>
            </a:rPr>
            <a:t>PERÍODO</a:t>
          </a:r>
          <a:r>
            <a:rPr lang="pt-BR" sz="1200" b="1" baseline="0">
              <a:solidFill>
                <a:schemeClr val="bg1"/>
              </a:solidFill>
            </a:rPr>
            <a:t> DE MONITORAMENTO</a:t>
          </a:r>
          <a:endParaRPr lang="pt-BR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455957</xdr:colOff>
      <xdr:row>6</xdr:row>
      <xdr:rowOff>121754</xdr:rowOff>
    </xdr:from>
    <xdr:to>
      <xdr:col>2</xdr:col>
      <xdr:colOff>22630</xdr:colOff>
      <xdr:row>10</xdr:row>
      <xdr:rowOff>64605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F3FC0BC-66A4-4C07-A57B-D83F5642D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5784" y1="51634" x2="35784" y2="51634"/>
                      <a14:foregroundMark x1="34804" y1="67974" x2="34804" y2="67974"/>
                      <a14:foregroundMark x1="47549" y1="52124" x2="47549" y2="52124"/>
                      <a14:foregroundMark x1="52124" y1="69935" x2="52124" y2="69935"/>
                      <a14:foregroundMark x1="64379" y1="51634" x2="64379" y2="51634"/>
                      <a14:foregroundMark x1="66830" y1="67974" x2="66830" y2="67974"/>
                      <a14:foregroundMark x1="63399" y1="24510" x2="63399" y2="24510"/>
                      <a14:foregroundMark x1="33170" y1="26634" x2="33170" y2="26634"/>
                      <a14:foregroundMark x1="38235" y1="28595" x2="38235" y2="2859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5957" y="1645754"/>
          <a:ext cx="785873" cy="70485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74924</xdr:colOff>
      <xdr:row>6</xdr:row>
      <xdr:rowOff>31547</xdr:rowOff>
    </xdr:from>
    <xdr:to>
      <xdr:col>5</xdr:col>
      <xdr:colOff>44825</xdr:colOff>
      <xdr:row>10</xdr:row>
      <xdr:rowOff>168089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7B15CB8-8446-47B1-9AD7-C6F1ADF14814}"/>
            </a:ext>
          </a:extLst>
        </xdr:cNvPr>
        <xdr:cNvSpPr txBox="1"/>
      </xdr:nvSpPr>
      <xdr:spPr>
        <a:xfrm>
          <a:off x="1285159" y="1174547"/>
          <a:ext cx="1785254" cy="898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JANEIRO</a:t>
          </a:r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 - SETEMBRO</a:t>
          </a:r>
        </a:p>
        <a:p>
          <a:endParaRPr lang="pt-BR" sz="1400"/>
        </a:p>
        <a:p>
          <a:pPr marL="0" indent="0"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2025 - 2026</a:t>
          </a:r>
        </a:p>
      </xdr:txBody>
    </xdr:sp>
    <xdr:clientData/>
  </xdr:twoCellAnchor>
  <xdr:twoCellAnchor>
    <xdr:from>
      <xdr:col>0</xdr:col>
      <xdr:colOff>428624</xdr:colOff>
      <xdr:row>25</xdr:row>
      <xdr:rowOff>168095</xdr:rowOff>
    </xdr:from>
    <xdr:to>
      <xdr:col>13</xdr:col>
      <xdr:colOff>533399</xdr:colOff>
      <xdr:row>44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4166B37-DC74-4B19-AF1A-AE06BBE8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500353</xdr:colOff>
      <xdr:row>25</xdr:row>
      <xdr:rowOff>175418</xdr:rowOff>
    </xdr:from>
    <xdr:to>
      <xdr:col>28</xdr:col>
      <xdr:colOff>603553</xdr:colOff>
      <xdr:row>44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32C079F-0C47-48F9-8368-F34B6ACB9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22</xdr:row>
      <xdr:rowOff>70603</xdr:rowOff>
    </xdr:from>
    <xdr:to>
      <xdr:col>5</xdr:col>
      <xdr:colOff>214274</xdr:colOff>
      <xdr:row>25</xdr:row>
      <xdr:rowOff>25780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C328EE05-5AAF-4D02-9D1A-DCD5471ADADA}"/>
            </a:ext>
          </a:extLst>
        </xdr:cNvPr>
        <xdr:cNvSpPr txBox="1"/>
      </xdr:nvSpPr>
      <xdr:spPr>
        <a:xfrm>
          <a:off x="381000" y="4833103"/>
          <a:ext cx="2858862" cy="52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Pluviometria Mensal (mm)</a:t>
          </a:r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Barragem Córrego Lavagem</a:t>
          </a:r>
        </a:p>
      </xdr:txBody>
    </xdr:sp>
    <xdr:clientData/>
  </xdr:twoCellAnchor>
  <xdr:twoCellAnchor>
    <xdr:from>
      <xdr:col>15</xdr:col>
      <xdr:colOff>488587</xdr:colOff>
      <xdr:row>22</xdr:row>
      <xdr:rowOff>70603</xdr:rowOff>
    </xdr:from>
    <xdr:to>
      <xdr:col>20</xdr:col>
      <xdr:colOff>321861</xdr:colOff>
      <xdr:row>25</xdr:row>
      <xdr:rowOff>25780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3952DB7B-664B-4224-8E19-828A9EAEEFBC}"/>
            </a:ext>
          </a:extLst>
        </xdr:cNvPr>
        <xdr:cNvSpPr txBox="1"/>
      </xdr:nvSpPr>
      <xdr:spPr>
        <a:xfrm>
          <a:off x="9565352" y="4833103"/>
          <a:ext cx="2858862" cy="52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Pluviometria Mensal (mm)</a:t>
          </a:r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DRM</a:t>
          </a:r>
        </a:p>
      </xdr:txBody>
    </xdr:sp>
    <xdr:clientData/>
  </xdr:twoCellAnchor>
  <xdr:twoCellAnchor>
    <xdr:from>
      <xdr:col>5</xdr:col>
      <xdr:colOff>280146</xdr:colOff>
      <xdr:row>6</xdr:row>
      <xdr:rowOff>112059</xdr:rowOff>
    </xdr:from>
    <xdr:to>
      <xdr:col>5</xdr:col>
      <xdr:colOff>280146</xdr:colOff>
      <xdr:row>10</xdr:row>
      <xdr:rowOff>89648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8744104E-F457-497D-B1BE-7B8716C86CB7}"/>
            </a:ext>
          </a:extLst>
        </xdr:cNvPr>
        <xdr:cNvCxnSpPr/>
      </xdr:nvCxnSpPr>
      <xdr:spPr>
        <a:xfrm flipH="1">
          <a:off x="3305734" y="1636059"/>
          <a:ext cx="0" cy="73958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381965</xdr:colOff>
      <xdr:row>6</xdr:row>
      <xdr:rowOff>31547</xdr:rowOff>
    </xdr:from>
    <xdr:to>
      <xdr:col>12</xdr:col>
      <xdr:colOff>143436</xdr:colOff>
      <xdr:row>11</xdr:row>
      <xdr:rowOff>38100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4839B46-7241-47A7-A039-AA596917C75D}"/>
            </a:ext>
          </a:extLst>
        </xdr:cNvPr>
        <xdr:cNvSpPr txBox="1"/>
      </xdr:nvSpPr>
      <xdr:spPr>
        <a:xfrm>
          <a:off x="4617789" y="1174547"/>
          <a:ext cx="2787059" cy="959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BARRAGEM</a:t>
          </a:r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 01</a:t>
          </a:r>
        </a:p>
        <a:p>
          <a:pPr algn="ctr"/>
          <a:endParaRPr lang="pt-BR" sz="1400" b="1" baseline="0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BARRAGEM 02</a:t>
          </a:r>
          <a:endParaRPr lang="pt-BR" sz="1400" b="1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11522</xdr:colOff>
      <xdr:row>3</xdr:row>
      <xdr:rowOff>157368</xdr:rowOff>
    </xdr:from>
    <xdr:to>
      <xdr:col>11</xdr:col>
      <xdr:colOff>385410</xdr:colOff>
      <xdr:row>5</xdr:row>
      <xdr:rowOff>176417</xdr:rowOff>
    </xdr:to>
    <xdr:sp macro="" textlink="">
      <xdr:nvSpPr>
        <xdr:cNvPr id="22" name="CaixaDeTexto 27">
          <a:extLst>
            <a:ext uri="{FF2B5EF4-FFF2-40B4-BE49-F238E27FC236}">
              <a16:creationId xmlns:a16="http://schemas.microsoft.com/office/drawing/2014/main" id="{E6C9CD11-B955-4754-A9A6-645747382094}"/>
            </a:ext>
          </a:extLst>
        </xdr:cNvPr>
        <xdr:cNvSpPr txBox="1"/>
      </xdr:nvSpPr>
      <xdr:spPr>
        <a:xfrm>
          <a:off x="4888322" y="1109868"/>
          <a:ext cx="2202688" cy="400049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200000"/>
            </a:lnSpc>
          </a:pPr>
          <a:r>
            <a:rPr lang="pt-BR" sz="1200" b="1">
              <a:solidFill>
                <a:schemeClr val="bg1"/>
              </a:solidFill>
            </a:rPr>
            <a:t>ESTRUTURAS MONITORADAS</a:t>
          </a:r>
          <a:endParaRPr lang="pt-BR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414617</xdr:colOff>
      <xdr:row>12</xdr:row>
      <xdr:rowOff>23434</xdr:rowOff>
    </xdr:from>
    <xdr:to>
      <xdr:col>5</xdr:col>
      <xdr:colOff>89029</xdr:colOff>
      <xdr:row>21</xdr:row>
      <xdr:rowOff>72934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1047A644-ADCA-1B7B-DA51-C7316FF53F51}"/>
            </a:ext>
          </a:extLst>
        </xdr:cNvPr>
        <xdr:cNvSpPr/>
      </xdr:nvSpPr>
      <xdr:spPr>
        <a:xfrm>
          <a:off x="414617" y="2690434"/>
          <a:ext cx="2722412" cy="1764000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5</xdr:col>
      <xdr:colOff>318248</xdr:colOff>
      <xdr:row>13</xdr:row>
      <xdr:rowOff>125505</xdr:rowOff>
    </xdr:from>
    <xdr:to>
      <xdr:col>9</xdr:col>
      <xdr:colOff>597777</xdr:colOff>
      <xdr:row>19</xdr:row>
      <xdr:rowOff>181305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8987BB7-420F-48F7-93C4-8D61814D72C6}"/>
            </a:ext>
          </a:extLst>
        </xdr:cNvPr>
        <xdr:cNvSpPr/>
      </xdr:nvSpPr>
      <xdr:spPr>
        <a:xfrm>
          <a:off x="3343836" y="2983005"/>
          <a:ext cx="2700000" cy="1198800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16</xdr:col>
      <xdr:colOff>62755</xdr:colOff>
      <xdr:row>12</xdr:row>
      <xdr:rowOff>23434</xdr:rowOff>
    </xdr:from>
    <xdr:to>
      <xdr:col>20</xdr:col>
      <xdr:colOff>345955</xdr:colOff>
      <xdr:row>21</xdr:row>
      <xdr:rowOff>72934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538DA82F-87CA-44ED-8AEA-53AD8B1B5BC0}"/>
            </a:ext>
          </a:extLst>
        </xdr:cNvPr>
        <xdr:cNvSpPr/>
      </xdr:nvSpPr>
      <xdr:spPr>
        <a:xfrm>
          <a:off x="9816355" y="2690434"/>
          <a:ext cx="2721600" cy="1764000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6</xdr:col>
      <xdr:colOff>474973</xdr:colOff>
      <xdr:row>13</xdr:row>
      <xdr:rowOff>139160</xdr:rowOff>
    </xdr:from>
    <xdr:to>
      <xdr:col>8</xdr:col>
      <xdr:colOff>489381</xdr:colOff>
      <xdr:row>16</xdr:row>
      <xdr:rowOff>101060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428EEED7-454D-423C-9B4A-634E5BC79CE8}"/>
            </a:ext>
          </a:extLst>
        </xdr:cNvPr>
        <xdr:cNvSpPr txBox="1"/>
      </xdr:nvSpPr>
      <xdr:spPr>
        <a:xfrm>
          <a:off x="4105679" y="2996660"/>
          <a:ext cx="1224643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Média</a:t>
          </a:r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 Mensal</a:t>
          </a:r>
        </a:p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(mm)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6</xdr:col>
      <xdr:colOff>232925</xdr:colOff>
      <xdr:row>18</xdr:row>
      <xdr:rowOff>9730</xdr:rowOff>
    </xdr:from>
    <xdr:to>
      <xdr:col>7</xdr:col>
      <xdr:colOff>257734</xdr:colOff>
      <xdr:row>20</xdr:row>
      <xdr:rowOff>10083</xdr:rowOff>
    </xdr:to>
    <xdr:sp macro="" textlink="Base_Dados!K15">
      <xdr:nvSpPr>
        <xdr:cNvPr id="43" name="CaixaDeTexto 42">
          <a:extLst>
            <a:ext uri="{FF2B5EF4-FFF2-40B4-BE49-F238E27FC236}">
              <a16:creationId xmlns:a16="http://schemas.microsoft.com/office/drawing/2014/main" id="{A8B3B9EE-89E4-4C14-9423-8019EE5AF2E3}"/>
            </a:ext>
          </a:extLst>
        </xdr:cNvPr>
        <xdr:cNvSpPr txBox="1"/>
      </xdr:nvSpPr>
      <xdr:spPr>
        <a:xfrm>
          <a:off x="3863631" y="3819730"/>
          <a:ext cx="629927" cy="381353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78C0AA9-3455-48B1-BC95-6D638BA2DFDD}" type="TxLink">
            <a:rPr lang="en-US" sz="1400" b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pPr marL="0" indent="0"/>
            <a:t>68,88888889</a:t>
          </a:fld>
          <a:endParaRPr lang="pt-BR" sz="1400" b="1">
            <a:solidFill>
              <a:schemeClr val="tx1">
                <a:lumMod val="50000"/>
                <a:lumOff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425667</xdr:colOff>
      <xdr:row>16</xdr:row>
      <xdr:rowOff>65200</xdr:rowOff>
    </xdr:from>
    <xdr:to>
      <xdr:col>7</xdr:col>
      <xdr:colOff>440074</xdr:colOff>
      <xdr:row>17</xdr:row>
      <xdr:rowOff>172569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DDA3F1A8-8630-46A4-B7F4-95F8562A94F2}"/>
            </a:ext>
          </a:extLst>
        </xdr:cNvPr>
        <xdr:cNvSpPr txBox="1"/>
      </xdr:nvSpPr>
      <xdr:spPr>
        <a:xfrm>
          <a:off x="3451255" y="3494200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7</xdr:col>
      <xdr:colOff>578067</xdr:colOff>
      <xdr:row>16</xdr:row>
      <xdr:rowOff>65200</xdr:rowOff>
    </xdr:from>
    <xdr:to>
      <xdr:col>9</xdr:col>
      <xdr:colOff>592475</xdr:colOff>
      <xdr:row>17</xdr:row>
      <xdr:rowOff>172569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07B3313-8AC4-4F6B-94C2-EDD70EB3B824}"/>
            </a:ext>
          </a:extLst>
        </xdr:cNvPr>
        <xdr:cNvSpPr txBox="1"/>
      </xdr:nvSpPr>
      <xdr:spPr>
        <a:xfrm>
          <a:off x="4813891" y="3494200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8</xdr:col>
      <xdr:colOff>306885</xdr:colOff>
      <xdr:row>18</xdr:row>
      <xdr:rowOff>9730</xdr:rowOff>
    </xdr:from>
    <xdr:to>
      <xdr:col>9</xdr:col>
      <xdr:colOff>347383</xdr:colOff>
      <xdr:row>20</xdr:row>
      <xdr:rowOff>10083</xdr:rowOff>
    </xdr:to>
    <xdr:sp macro="" textlink="Base_Dados!K16">
      <xdr:nvSpPr>
        <xdr:cNvPr id="47" name="CaixaDeTexto 46">
          <a:extLst>
            <a:ext uri="{FF2B5EF4-FFF2-40B4-BE49-F238E27FC236}">
              <a16:creationId xmlns:a16="http://schemas.microsoft.com/office/drawing/2014/main" id="{F3606542-2222-4324-908E-AD5FCA820110}"/>
            </a:ext>
          </a:extLst>
        </xdr:cNvPr>
        <xdr:cNvSpPr txBox="1"/>
      </xdr:nvSpPr>
      <xdr:spPr>
        <a:xfrm>
          <a:off x="5147826" y="3819730"/>
          <a:ext cx="645616" cy="381353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2DB3D4C-30E3-40B1-8B18-DB163F60D0AC}" type="TxLink">
            <a:rPr lang="en-US" sz="14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pPr marL="0" indent="0"/>
            <a:t>111,03</a:t>
          </a:fld>
          <a:endParaRPr lang="pt-BR" sz="1400" b="1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513033</xdr:colOff>
      <xdr:row>12</xdr:row>
      <xdr:rowOff>11205</xdr:rowOff>
    </xdr:from>
    <xdr:to>
      <xdr:col>1</xdr:col>
      <xdr:colOff>236297</xdr:colOff>
      <xdr:row>13</xdr:row>
      <xdr:rowOff>123264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DA812330-D724-8BB1-8B5D-46F61172894C}"/>
            </a:ext>
          </a:extLst>
        </xdr:cNvPr>
        <xdr:cNvSpPr txBox="1">
          <a:spLocks noChangeArrowheads="1"/>
        </xdr:cNvSpPr>
      </xdr:nvSpPr>
      <xdr:spPr bwMode="auto">
        <a:xfrm>
          <a:off x="513033" y="2678205"/>
          <a:ext cx="336177" cy="302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2000" b="0" i="0" u="none" strike="noStrike" baseline="0">
              <a:solidFill>
                <a:srgbClr val="000000"/>
              </a:solidFill>
              <a:latin typeface="Aptos Narrow"/>
            </a:rPr>
            <a:t>🌧️</a:t>
          </a:r>
        </a:p>
      </xdr:txBody>
    </xdr:sp>
    <xdr:clientData/>
  </xdr:twoCellAnchor>
  <xdr:twoCellAnchor>
    <xdr:from>
      <xdr:col>16</xdr:col>
      <xdr:colOff>183616</xdr:colOff>
      <xdr:row>12</xdr:row>
      <xdr:rowOff>54748</xdr:rowOff>
    </xdr:from>
    <xdr:to>
      <xdr:col>16</xdr:col>
      <xdr:colOff>526996</xdr:colOff>
      <xdr:row>13</xdr:row>
      <xdr:rowOff>166807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6918A393-7BEF-4A87-897C-493FE934F415}"/>
            </a:ext>
          </a:extLst>
        </xdr:cNvPr>
        <xdr:cNvSpPr txBox="1">
          <a:spLocks noChangeArrowheads="1"/>
        </xdr:cNvSpPr>
      </xdr:nvSpPr>
      <xdr:spPr bwMode="auto">
        <a:xfrm>
          <a:off x="9980759" y="2721748"/>
          <a:ext cx="343380" cy="302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2000" b="0" i="0" u="none" strike="noStrike" baseline="0">
              <a:solidFill>
                <a:srgbClr val="000000"/>
              </a:solidFill>
              <a:latin typeface="Aptos Narrow"/>
            </a:rPr>
            <a:t>🌧️</a:t>
          </a:r>
        </a:p>
      </xdr:txBody>
    </xdr:sp>
    <xdr:clientData/>
  </xdr:twoCellAnchor>
  <xdr:twoCellAnchor>
    <xdr:from>
      <xdr:col>21</xdr:col>
      <xdr:colOff>56037</xdr:colOff>
      <xdr:row>13</xdr:row>
      <xdr:rowOff>181536</xdr:rowOff>
    </xdr:from>
    <xdr:to>
      <xdr:col>25</xdr:col>
      <xdr:colOff>335567</xdr:colOff>
      <xdr:row>20</xdr:row>
      <xdr:rowOff>46836</xdr:rowOff>
    </xdr:to>
    <xdr:sp macro="" textlink="">
      <xdr:nvSpPr>
        <xdr:cNvPr id="49" name="Retângulo: Cantos Arredondados 48">
          <a:extLst>
            <a:ext uri="{FF2B5EF4-FFF2-40B4-BE49-F238E27FC236}">
              <a16:creationId xmlns:a16="http://schemas.microsoft.com/office/drawing/2014/main" id="{524C4224-4EBC-4062-80CB-2A64B2171335}"/>
            </a:ext>
          </a:extLst>
        </xdr:cNvPr>
        <xdr:cNvSpPr/>
      </xdr:nvSpPr>
      <xdr:spPr>
        <a:xfrm>
          <a:off x="12763508" y="3039036"/>
          <a:ext cx="2700000" cy="1198800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pt-BR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123119</xdr:colOff>
      <xdr:row>14</xdr:row>
      <xdr:rowOff>33827</xdr:rowOff>
    </xdr:from>
    <xdr:to>
      <xdr:col>24</xdr:col>
      <xdr:colOff>137526</xdr:colOff>
      <xdr:row>16</xdr:row>
      <xdr:rowOff>186227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70E1F17D-C7B4-49CA-B5F4-C89A2F8FABB1}"/>
            </a:ext>
          </a:extLst>
        </xdr:cNvPr>
        <xdr:cNvSpPr txBox="1"/>
      </xdr:nvSpPr>
      <xdr:spPr>
        <a:xfrm>
          <a:off x="13435707" y="3081827"/>
          <a:ext cx="1224643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Média</a:t>
          </a:r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 Mensal</a:t>
          </a:r>
        </a:p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(mm)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21</xdr:col>
      <xdr:colOff>508600</xdr:colOff>
      <xdr:row>18</xdr:row>
      <xdr:rowOff>50074</xdr:rowOff>
    </xdr:from>
    <xdr:to>
      <xdr:col>22</xdr:col>
      <xdr:colOff>526677</xdr:colOff>
      <xdr:row>20</xdr:row>
      <xdr:rowOff>50427</xdr:rowOff>
    </xdr:to>
    <xdr:sp macro="" textlink="Base_Dados!K35">
      <xdr:nvSpPr>
        <xdr:cNvPr id="51" name="CaixaDeTexto 50">
          <a:extLst>
            <a:ext uri="{FF2B5EF4-FFF2-40B4-BE49-F238E27FC236}">
              <a16:creationId xmlns:a16="http://schemas.microsoft.com/office/drawing/2014/main" id="{FC1613A7-1C6D-4110-AE69-A68710D76006}"/>
            </a:ext>
          </a:extLst>
        </xdr:cNvPr>
        <xdr:cNvSpPr txBox="1"/>
      </xdr:nvSpPr>
      <xdr:spPr>
        <a:xfrm>
          <a:off x="13216071" y="3860074"/>
          <a:ext cx="623194" cy="381353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C837DB5-6A43-45EC-82FC-D83AECF6B284}" type="TxLink">
            <a:rPr lang="en-US" sz="1400" b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pPr marL="0" indent="0"/>
            <a:t>61,64</a:t>
          </a:fld>
          <a:endParaRPr lang="pt-BR" sz="1400" b="1">
            <a:solidFill>
              <a:schemeClr val="tx1">
                <a:lumMod val="50000"/>
                <a:lumOff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96224</xdr:colOff>
      <xdr:row>16</xdr:row>
      <xdr:rowOff>105544</xdr:rowOff>
    </xdr:from>
    <xdr:to>
      <xdr:col>23</xdr:col>
      <xdr:colOff>110632</xdr:colOff>
      <xdr:row>18</xdr:row>
      <xdr:rowOff>22413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991B612F-337D-4E29-83AA-E03BDB63E7AE}"/>
            </a:ext>
          </a:extLst>
        </xdr:cNvPr>
        <xdr:cNvSpPr txBox="1"/>
      </xdr:nvSpPr>
      <xdr:spPr>
        <a:xfrm>
          <a:off x="12803695" y="3534544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23</xdr:col>
      <xdr:colOff>248625</xdr:colOff>
      <xdr:row>16</xdr:row>
      <xdr:rowOff>105544</xdr:rowOff>
    </xdr:from>
    <xdr:to>
      <xdr:col>25</xdr:col>
      <xdr:colOff>263033</xdr:colOff>
      <xdr:row>18</xdr:row>
      <xdr:rowOff>22413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63AFEF2E-39E5-49E2-9A5A-5524B9476CC5}"/>
            </a:ext>
          </a:extLst>
        </xdr:cNvPr>
        <xdr:cNvSpPr txBox="1"/>
      </xdr:nvSpPr>
      <xdr:spPr>
        <a:xfrm>
          <a:off x="14166331" y="3534544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23</xdr:col>
      <xdr:colOff>199475</xdr:colOff>
      <xdr:row>17</xdr:row>
      <xdr:rowOff>68356</xdr:rowOff>
    </xdr:from>
    <xdr:to>
      <xdr:col>23</xdr:col>
      <xdr:colOff>199475</xdr:colOff>
      <xdr:row>19</xdr:row>
      <xdr:rowOff>119356</xdr:rowOff>
    </xdr:to>
    <xdr:cxnSp macro="">
      <xdr:nvCxnSpPr>
        <xdr:cNvPr id="54" name="Conector reto 53">
          <a:extLst>
            <a:ext uri="{FF2B5EF4-FFF2-40B4-BE49-F238E27FC236}">
              <a16:creationId xmlns:a16="http://schemas.microsoft.com/office/drawing/2014/main" id="{0FCBF16C-8EDB-40DA-ACC1-56FBA859EDEF}"/>
            </a:ext>
          </a:extLst>
        </xdr:cNvPr>
        <xdr:cNvCxnSpPr/>
      </xdr:nvCxnSpPr>
      <xdr:spPr>
        <a:xfrm flipH="1">
          <a:off x="14117181" y="3687856"/>
          <a:ext cx="0" cy="432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33471</xdr:colOff>
      <xdr:row>18</xdr:row>
      <xdr:rowOff>50074</xdr:rowOff>
    </xdr:from>
    <xdr:to>
      <xdr:col>25</xdr:col>
      <xdr:colOff>89647</xdr:colOff>
      <xdr:row>20</xdr:row>
      <xdr:rowOff>50427</xdr:rowOff>
    </xdr:to>
    <xdr:sp macro="" textlink="Base_Dados!K36">
      <xdr:nvSpPr>
        <xdr:cNvPr id="55" name="CaixaDeTexto 54">
          <a:extLst>
            <a:ext uri="{FF2B5EF4-FFF2-40B4-BE49-F238E27FC236}">
              <a16:creationId xmlns:a16="http://schemas.microsoft.com/office/drawing/2014/main" id="{C430DF50-AA68-46F9-838C-3560483743FF}"/>
            </a:ext>
          </a:extLst>
        </xdr:cNvPr>
        <xdr:cNvSpPr txBox="1"/>
      </xdr:nvSpPr>
      <xdr:spPr>
        <a:xfrm>
          <a:off x="14556295" y="3860074"/>
          <a:ext cx="661293" cy="381353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0AD3C7C-7A91-47F4-ACBC-7E0A168D1899}" type="TxLink">
            <a:rPr lang="en-US" sz="14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pPr marL="0" indent="0"/>
            <a:t>100,92</a:t>
          </a:fld>
          <a:endParaRPr lang="pt-BR" sz="1400" b="1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495299</xdr:colOff>
      <xdr:row>16</xdr:row>
      <xdr:rowOff>151278</xdr:rowOff>
    </xdr:from>
    <xdr:to>
      <xdr:col>7</xdr:col>
      <xdr:colOff>495299</xdr:colOff>
      <xdr:row>19</xdr:row>
      <xdr:rowOff>11778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4027C182-F644-4363-A479-72026115437A}"/>
            </a:ext>
          </a:extLst>
        </xdr:cNvPr>
        <xdr:cNvCxnSpPr/>
      </xdr:nvCxnSpPr>
      <xdr:spPr>
        <a:xfrm flipH="1">
          <a:off x="4731123" y="3580278"/>
          <a:ext cx="0" cy="432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80891</xdr:colOff>
      <xdr:row>19</xdr:row>
      <xdr:rowOff>106273</xdr:rowOff>
    </xdr:from>
    <xdr:to>
      <xdr:col>2</xdr:col>
      <xdr:colOff>567384</xdr:colOff>
      <xdr:row>21</xdr:row>
      <xdr:rowOff>83653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11542DA8-5E4E-43FC-B7EF-E9A9B24AD253}"/>
            </a:ext>
          </a:extLst>
        </xdr:cNvPr>
        <xdr:cNvSpPr txBox="1"/>
      </xdr:nvSpPr>
      <xdr:spPr>
        <a:xfrm>
          <a:off x="690491" y="4106773"/>
          <a:ext cx="1096093" cy="35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Variação: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</xdr:col>
      <xdr:colOff>491027</xdr:colOff>
      <xdr:row>19</xdr:row>
      <xdr:rowOff>101790</xdr:rowOff>
    </xdr:from>
    <xdr:to>
      <xdr:col>4</xdr:col>
      <xdr:colOff>372401</xdr:colOff>
      <xdr:row>21</xdr:row>
      <xdr:rowOff>79170</xdr:rowOff>
    </xdr:to>
    <xdr:sp macro="" textlink="Base_Dados!N15">
      <xdr:nvSpPr>
        <xdr:cNvPr id="2048" name="CaixaDeTexto 2047">
          <a:extLst>
            <a:ext uri="{FF2B5EF4-FFF2-40B4-BE49-F238E27FC236}">
              <a16:creationId xmlns:a16="http://schemas.microsoft.com/office/drawing/2014/main" id="{0DAB4E81-DAB0-4BE1-9EE8-545F3928D38E}"/>
            </a:ext>
          </a:extLst>
        </xdr:cNvPr>
        <xdr:cNvSpPr txBox="1"/>
      </xdr:nvSpPr>
      <xdr:spPr>
        <a:xfrm>
          <a:off x="1710227" y="4102290"/>
          <a:ext cx="1100574" cy="35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1808D3B-6D7A-4226-9576-58FE6725553D}" type="TxLink">
            <a:rPr lang="en-US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pPr marL="0" indent="0"/>
            <a:t>▲ 61,17%</a:t>
          </a:fld>
          <a:endParaRPr lang="pt-BR" sz="1400" b="1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409500</xdr:colOff>
      <xdr:row>19</xdr:row>
      <xdr:rowOff>91294</xdr:rowOff>
    </xdr:from>
    <xdr:to>
      <xdr:col>18</xdr:col>
      <xdr:colOff>290874</xdr:colOff>
      <xdr:row>21</xdr:row>
      <xdr:rowOff>68674</xdr:rowOff>
    </xdr:to>
    <xdr:sp macro="" textlink="">
      <xdr:nvSpPr>
        <xdr:cNvPr id="2053" name="CaixaDeTexto 2052">
          <a:extLst>
            <a:ext uri="{FF2B5EF4-FFF2-40B4-BE49-F238E27FC236}">
              <a16:creationId xmlns:a16="http://schemas.microsoft.com/office/drawing/2014/main" id="{3BA18114-48CE-476A-BE4E-36DE2066ADCB}"/>
            </a:ext>
          </a:extLst>
        </xdr:cNvPr>
        <xdr:cNvSpPr txBox="1"/>
      </xdr:nvSpPr>
      <xdr:spPr>
        <a:xfrm>
          <a:off x="10206643" y="4091794"/>
          <a:ext cx="1106017" cy="35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Variação: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18</xdr:col>
      <xdr:colOff>214517</xdr:colOff>
      <xdr:row>19</xdr:row>
      <xdr:rowOff>86811</xdr:rowOff>
    </xdr:from>
    <xdr:to>
      <xdr:col>20</xdr:col>
      <xdr:colOff>95892</xdr:colOff>
      <xdr:row>21</xdr:row>
      <xdr:rowOff>64191</xdr:rowOff>
    </xdr:to>
    <xdr:sp macro="" textlink="Base_Dados!N35">
      <xdr:nvSpPr>
        <xdr:cNvPr id="2054" name="CaixaDeTexto 2053">
          <a:extLst>
            <a:ext uri="{FF2B5EF4-FFF2-40B4-BE49-F238E27FC236}">
              <a16:creationId xmlns:a16="http://schemas.microsoft.com/office/drawing/2014/main" id="{1F24CC75-EDF5-4770-8C68-4A9D1A5A573E}"/>
            </a:ext>
          </a:extLst>
        </xdr:cNvPr>
        <xdr:cNvSpPr txBox="1"/>
      </xdr:nvSpPr>
      <xdr:spPr>
        <a:xfrm>
          <a:off x="11236303" y="4087311"/>
          <a:ext cx="1106018" cy="35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CB12236-309F-470B-BB74-F8E1C3B47B0D}" type="TxLink">
            <a:rPr lang="en-US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pPr marL="0" indent="0"/>
            <a:t>▲ 63,72%</a:t>
          </a:fld>
          <a:endParaRPr lang="pt-BR" sz="1400" b="1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221880</xdr:colOff>
      <xdr:row>12</xdr:row>
      <xdr:rowOff>20170</xdr:rowOff>
    </xdr:from>
    <xdr:to>
      <xdr:col>14</xdr:col>
      <xdr:colOff>501409</xdr:colOff>
      <xdr:row>21</xdr:row>
      <xdr:rowOff>76198</xdr:rowOff>
    </xdr:to>
    <xdr:sp macro="" textlink="">
      <xdr:nvSpPr>
        <xdr:cNvPr id="2055" name="Retângulo: Cantos Arredondados 2054">
          <a:extLst>
            <a:ext uri="{FF2B5EF4-FFF2-40B4-BE49-F238E27FC236}">
              <a16:creationId xmlns:a16="http://schemas.microsoft.com/office/drawing/2014/main" id="{D34A6B66-DCB2-4E55-B7DB-2D92C5438BE8}"/>
            </a:ext>
          </a:extLst>
        </xdr:cNvPr>
        <xdr:cNvSpPr/>
      </xdr:nvSpPr>
      <xdr:spPr>
        <a:xfrm>
          <a:off x="6317880" y="2687170"/>
          <a:ext cx="2717929" cy="1770528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11</xdr:col>
      <xdr:colOff>78441</xdr:colOff>
      <xdr:row>12</xdr:row>
      <xdr:rowOff>145884</xdr:rowOff>
    </xdr:from>
    <xdr:to>
      <xdr:col>14</xdr:col>
      <xdr:colOff>36666</xdr:colOff>
      <xdr:row>15</xdr:row>
      <xdr:rowOff>107784</xdr:rowOff>
    </xdr:to>
    <xdr:sp macro="" textlink="">
      <xdr:nvSpPr>
        <xdr:cNvPr id="2056" name="CaixaDeTexto 2055">
          <a:extLst>
            <a:ext uri="{FF2B5EF4-FFF2-40B4-BE49-F238E27FC236}">
              <a16:creationId xmlns:a16="http://schemas.microsoft.com/office/drawing/2014/main" id="{E18EBB4B-1FFF-4530-9700-6B9061DA0DBA}"/>
            </a:ext>
          </a:extLst>
        </xdr:cNvPr>
        <xdr:cNvSpPr txBox="1"/>
      </xdr:nvSpPr>
      <xdr:spPr>
        <a:xfrm>
          <a:off x="6734735" y="2812884"/>
          <a:ext cx="1773578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Maior Precipitação</a:t>
          </a:r>
        </a:p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(mm)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10</xdr:col>
      <xdr:colOff>392206</xdr:colOff>
      <xdr:row>18</xdr:row>
      <xdr:rowOff>27659</xdr:rowOff>
    </xdr:from>
    <xdr:to>
      <xdr:col>12</xdr:col>
      <xdr:colOff>280145</xdr:colOff>
      <xdr:row>21</xdr:row>
      <xdr:rowOff>44824</xdr:rowOff>
    </xdr:to>
    <xdr:sp macro="" textlink="Base_Dados!Q15">
      <xdr:nvSpPr>
        <xdr:cNvPr id="2057" name="CaixaDeTexto 2056">
          <a:extLst>
            <a:ext uri="{FF2B5EF4-FFF2-40B4-BE49-F238E27FC236}">
              <a16:creationId xmlns:a16="http://schemas.microsoft.com/office/drawing/2014/main" id="{B6F9ABEA-97B1-4C45-AE6E-EC1E0B848333}"/>
            </a:ext>
          </a:extLst>
        </xdr:cNvPr>
        <xdr:cNvSpPr txBox="1"/>
      </xdr:nvSpPr>
      <xdr:spPr>
        <a:xfrm>
          <a:off x="6443382" y="3837659"/>
          <a:ext cx="1098175" cy="588665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11DE211-FFC4-490E-91A8-A68B5DF15505}" type="TxLink">
            <a:rPr lang="en-US" sz="1400" b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pPr marL="0" indent="0" algn="ctr"/>
            <a:t>Janeiro 264,00 mm</a:t>
          </a:fld>
          <a:endParaRPr lang="pt-BR" sz="1400" b="1">
            <a:solidFill>
              <a:schemeClr val="tx1">
                <a:lumMod val="50000"/>
                <a:lumOff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309129</xdr:colOff>
      <xdr:row>16</xdr:row>
      <xdr:rowOff>60717</xdr:rowOff>
    </xdr:from>
    <xdr:to>
      <xdr:col>12</xdr:col>
      <xdr:colOff>323536</xdr:colOff>
      <xdr:row>17</xdr:row>
      <xdr:rowOff>168086</xdr:rowOff>
    </xdr:to>
    <xdr:sp macro="" textlink="">
      <xdr:nvSpPr>
        <xdr:cNvPr id="2058" name="CaixaDeTexto 2057">
          <a:extLst>
            <a:ext uri="{FF2B5EF4-FFF2-40B4-BE49-F238E27FC236}">
              <a16:creationId xmlns:a16="http://schemas.microsoft.com/office/drawing/2014/main" id="{CE62F54E-2577-4B2A-91DF-A6D2F646182D}"/>
            </a:ext>
          </a:extLst>
        </xdr:cNvPr>
        <xdr:cNvSpPr txBox="1"/>
      </xdr:nvSpPr>
      <xdr:spPr>
        <a:xfrm>
          <a:off x="6360305" y="3489717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12</xdr:col>
      <xdr:colOff>383088</xdr:colOff>
      <xdr:row>16</xdr:row>
      <xdr:rowOff>60717</xdr:rowOff>
    </xdr:from>
    <xdr:to>
      <xdr:col>14</xdr:col>
      <xdr:colOff>397496</xdr:colOff>
      <xdr:row>17</xdr:row>
      <xdr:rowOff>168086</xdr:rowOff>
    </xdr:to>
    <xdr:sp macro="" textlink="">
      <xdr:nvSpPr>
        <xdr:cNvPr id="2059" name="CaixaDeTexto 2058">
          <a:extLst>
            <a:ext uri="{FF2B5EF4-FFF2-40B4-BE49-F238E27FC236}">
              <a16:creationId xmlns:a16="http://schemas.microsoft.com/office/drawing/2014/main" id="{18710D70-432E-42D8-8A16-07F71689AA42}"/>
            </a:ext>
          </a:extLst>
        </xdr:cNvPr>
        <xdr:cNvSpPr txBox="1"/>
      </xdr:nvSpPr>
      <xdr:spPr>
        <a:xfrm>
          <a:off x="7644500" y="3489717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12</xdr:col>
      <xdr:colOff>476097</xdr:colOff>
      <xdr:row>18</xdr:row>
      <xdr:rowOff>30060</xdr:rowOff>
    </xdr:from>
    <xdr:to>
      <xdr:col>14</xdr:col>
      <xdr:colOff>442632</xdr:colOff>
      <xdr:row>21</xdr:row>
      <xdr:rowOff>2401</xdr:rowOff>
    </xdr:to>
    <xdr:sp macro="" textlink="Base_Dados!Q16">
      <xdr:nvSpPr>
        <xdr:cNvPr id="2060" name="CaixaDeTexto 2059">
          <a:extLst>
            <a:ext uri="{FF2B5EF4-FFF2-40B4-BE49-F238E27FC236}">
              <a16:creationId xmlns:a16="http://schemas.microsoft.com/office/drawing/2014/main" id="{2B010469-938E-467C-8AD8-F07D7E7D0D1F}"/>
            </a:ext>
          </a:extLst>
        </xdr:cNvPr>
        <xdr:cNvSpPr txBox="1"/>
      </xdr:nvSpPr>
      <xdr:spPr>
        <a:xfrm>
          <a:off x="7823954" y="3840060"/>
          <a:ext cx="1191178" cy="543841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E5CE37E-E4F9-49BC-9700-08540A4E785F}" type="TxLink">
            <a:rPr lang="en-US" sz="14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pPr marL="0" indent="0" algn="ctr"/>
            <a:t>Janeiro 429,50 mm</a:t>
          </a:fld>
          <a:endParaRPr lang="pt-BR" sz="1400" b="1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378761</xdr:colOff>
      <xdr:row>16</xdr:row>
      <xdr:rowOff>146795</xdr:rowOff>
    </xdr:from>
    <xdr:to>
      <xdr:col>12</xdr:col>
      <xdr:colOff>378761</xdr:colOff>
      <xdr:row>19</xdr:row>
      <xdr:rowOff>7295</xdr:rowOff>
    </xdr:to>
    <xdr:cxnSp macro="">
      <xdr:nvCxnSpPr>
        <xdr:cNvPr id="2061" name="Conector reto 2060">
          <a:extLst>
            <a:ext uri="{FF2B5EF4-FFF2-40B4-BE49-F238E27FC236}">
              <a16:creationId xmlns:a16="http://schemas.microsoft.com/office/drawing/2014/main" id="{388CF101-1BFF-421E-A354-7C93625DDB14}"/>
            </a:ext>
          </a:extLst>
        </xdr:cNvPr>
        <xdr:cNvCxnSpPr/>
      </xdr:nvCxnSpPr>
      <xdr:spPr>
        <a:xfrm flipH="1">
          <a:off x="7640173" y="3575795"/>
          <a:ext cx="0" cy="432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49318</xdr:colOff>
      <xdr:row>12</xdr:row>
      <xdr:rowOff>20170</xdr:rowOff>
    </xdr:from>
    <xdr:to>
      <xdr:col>30</xdr:col>
      <xdr:colOff>328848</xdr:colOff>
      <xdr:row>21</xdr:row>
      <xdr:rowOff>76198</xdr:rowOff>
    </xdr:to>
    <xdr:sp macro="" textlink="">
      <xdr:nvSpPr>
        <xdr:cNvPr id="2062" name="Retângulo: Cantos Arredondados 2061">
          <a:extLst>
            <a:ext uri="{FF2B5EF4-FFF2-40B4-BE49-F238E27FC236}">
              <a16:creationId xmlns:a16="http://schemas.microsoft.com/office/drawing/2014/main" id="{BBEDB08D-AC27-41C6-BCA1-6F0B428A04B2}"/>
            </a:ext>
          </a:extLst>
        </xdr:cNvPr>
        <xdr:cNvSpPr/>
      </xdr:nvSpPr>
      <xdr:spPr>
        <a:xfrm>
          <a:off x="15898918" y="2687170"/>
          <a:ext cx="2717930" cy="1770528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26</xdr:col>
      <xdr:colOff>510997</xdr:colOff>
      <xdr:row>12</xdr:row>
      <xdr:rowOff>96578</xdr:rowOff>
    </xdr:from>
    <xdr:to>
      <xdr:col>29</xdr:col>
      <xdr:colOff>469222</xdr:colOff>
      <xdr:row>15</xdr:row>
      <xdr:rowOff>58478</xdr:rowOff>
    </xdr:to>
    <xdr:sp macro="" textlink="">
      <xdr:nvSpPr>
        <xdr:cNvPr id="2063" name="CaixaDeTexto 2062">
          <a:extLst>
            <a:ext uri="{FF2B5EF4-FFF2-40B4-BE49-F238E27FC236}">
              <a16:creationId xmlns:a16="http://schemas.microsoft.com/office/drawing/2014/main" id="{80CF6800-79B3-41D4-813B-1C43ACBC4DCD}"/>
            </a:ext>
          </a:extLst>
        </xdr:cNvPr>
        <xdr:cNvSpPr txBox="1"/>
      </xdr:nvSpPr>
      <xdr:spPr>
        <a:xfrm>
          <a:off x="16244056" y="2763578"/>
          <a:ext cx="1773578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Maior Precipitação</a:t>
          </a:r>
        </a:p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(mm)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26</xdr:col>
      <xdr:colOff>320497</xdr:colOff>
      <xdr:row>17</xdr:row>
      <xdr:rowOff>168853</xdr:rowOff>
    </xdr:from>
    <xdr:to>
      <xdr:col>28</xdr:col>
      <xdr:colOff>208437</xdr:colOff>
      <xdr:row>20</xdr:row>
      <xdr:rowOff>186018</xdr:rowOff>
    </xdr:to>
    <xdr:sp macro="" textlink="Base_Dados!Q35">
      <xdr:nvSpPr>
        <xdr:cNvPr id="2064" name="CaixaDeTexto 2063">
          <a:extLst>
            <a:ext uri="{FF2B5EF4-FFF2-40B4-BE49-F238E27FC236}">
              <a16:creationId xmlns:a16="http://schemas.microsoft.com/office/drawing/2014/main" id="{B5E98216-2B9B-4A01-97A7-77A5389AE92B}"/>
            </a:ext>
          </a:extLst>
        </xdr:cNvPr>
        <xdr:cNvSpPr txBox="1"/>
      </xdr:nvSpPr>
      <xdr:spPr>
        <a:xfrm>
          <a:off x="16053556" y="3788353"/>
          <a:ext cx="1098175" cy="588665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A9661DA-36F3-4406-ACCE-9D1D6863A798}" type="TxLink">
            <a:rPr lang="en-US" sz="1400" b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pPr marL="0" indent="0" algn="ctr"/>
            <a:t>Janeiro  265,00 mm</a:t>
          </a:fld>
          <a:endParaRPr lang="pt-BR" sz="1400" b="1">
            <a:solidFill>
              <a:schemeClr val="tx1">
                <a:lumMod val="50000"/>
                <a:lumOff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136567</xdr:colOff>
      <xdr:row>16</xdr:row>
      <xdr:rowOff>11411</xdr:rowOff>
    </xdr:from>
    <xdr:to>
      <xdr:col>28</xdr:col>
      <xdr:colOff>150975</xdr:colOff>
      <xdr:row>17</xdr:row>
      <xdr:rowOff>118780</xdr:rowOff>
    </xdr:to>
    <xdr:sp macro="" textlink="">
      <xdr:nvSpPr>
        <xdr:cNvPr id="2065" name="CaixaDeTexto 2064">
          <a:extLst>
            <a:ext uri="{FF2B5EF4-FFF2-40B4-BE49-F238E27FC236}">
              <a16:creationId xmlns:a16="http://schemas.microsoft.com/office/drawing/2014/main" id="{C0D6A64B-197E-4251-8DB6-34F01614DCCF}"/>
            </a:ext>
          </a:extLst>
        </xdr:cNvPr>
        <xdr:cNvSpPr txBox="1"/>
      </xdr:nvSpPr>
      <xdr:spPr>
        <a:xfrm>
          <a:off x="15869626" y="3440411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28</xdr:col>
      <xdr:colOff>210527</xdr:colOff>
      <xdr:row>16</xdr:row>
      <xdr:rowOff>11411</xdr:rowOff>
    </xdr:from>
    <xdr:to>
      <xdr:col>30</xdr:col>
      <xdr:colOff>224935</xdr:colOff>
      <xdr:row>17</xdr:row>
      <xdr:rowOff>118780</xdr:rowOff>
    </xdr:to>
    <xdr:sp macro="" textlink="">
      <xdr:nvSpPr>
        <xdr:cNvPr id="2066" name="CaixaDeTexto 2065">
          <a:extLst>
            <a:ext uri="{FF2B5EF4-FFF2-40B4-BE49-F238E27FC236}">
              <a16:creationId xmlns:a16="http://schemas.microsoft.com/office/drawing/2014/main" id="{816ED590-2D74-425D-9297-89AB2BAE662A}"/>
            </a:ext>
          </a:extLst>
        </xdr:cNvPr>
        <xdr:cNvSpPr txBox="1"/>
      </xdr:nvSpPr>
      <xdr:spPr>
        <a:xfrm>
          <a:off x="17153821" y="3440411"/>
          <a:ext cx="1224643" cy="297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  <a:endParaRPr lang="pt-BR" sz="14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200"/>
        </a:p>
      </xdr:txBody>
    </xdr:sp>
    <xdr:clientData/>
  </xdr:twoCellAnchor>
  <xdr:twoCellAnchor>
    <xdr:from>
      <xdr:col>28</xdr:col>
      <xdr:colOff>398786</xdr:colOff>
      <xdr:row>17</xdr:row>
      <xdr:rowOff>157647</xdr:rowOff>
    </xdr:from>
    <xdr:to>
      <xdr:col>30</xdr:col>
      <xdr:colOff>365321</xdr:colOff>
      <xdr:row>20</xdr:row>
      <xdr:rowOff>129988</xdr:rowOff>
    </xdr:to>
    <xdr:sp macro="" textlink="Base_Dados!Q36">
      <xdr:nvSpPr>
        <xdr:cNvPr id="2067" name="CaixaDeTexto 2066">
          <a:extLst>
            <a:ext uri="{FF2B5EF4-FFF2-40B4-BE49-F238E27FC236}">
              <a16:creationId xmlns:a16="http://schemas.microsoft.com/office/drawing/2014/main" id="{60085114-FCCF-4920-848B-77E66F7ACD9C}"/>
            </a:ext>
          </a:extLst>
        </xdr:cNvPr>
        <xdr:cNvSpPr txBox="1"/>
      </xdr:nvSpPr>
      <xdr:spPr>
        <a:xfrm>
          <a:off x="17342080" y="3777147"/>
          <a:ext cx="1176770" cy="543841"/>
        </a:xfrm>
        <a:prstGeom prst="rect">
          <a:avLst/>
        </a:prstGeom>
        <a:grp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58C509E-8E7B-47CB-8D00-22F08D8A8FD4}" type="TxLink">
            <a:rPr lang="en-US" sz="14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pPr marL="0" indent="0" algn="ctr"/>
            <a:t>Janeiro  409,25 mm</a:t>
          </a:fld>
          <a:endParaRPr lang="pt-BR" sz="1400" b="1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478841</xdr:colOff>
      <xdr:row>11</xdr:row>
      <xdr:rowOff>169226</xdr:rowOff>
    </xdr:from>
    <xdr:to>
      <xdr:col>5</xdr:col>
      <xdr:colOff>182218</xdr:colOff>
      <xdr:row>20</xdr:row>
      <xdr:rowOff>82590</xdr:rowOff>
    </xdr:to>
    <xdr:graphicFrame macro="">
      <xdr:nvGraphicFramePr>
        <xdr:cNvPr id="2070" name="Gráfico 2069">
          <a:extLst>
            <a:ext uri="{FF2B5EF4-FFF2-40B4-BE49-F238E27FC236}">
              <a16:creationId xmlns:a16="http://schemas.microsoft.com/office/drawing/2014/main" id="{A373CEE7-CBA2-4FD5-8EB1-F883FE0F2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73638</xdr:colOff>
      <xdr:row>11</xdr:row>
      <xdr:rowOff>101892</xdr:rowOff>
    </xdr:from>
    <xdr:to>
      <xdr:col>20</xdr:col>
      <xdr:colOff>389336</xdr:colOff>
      <xdr:row>20</xdr:row>
      <xdr:rowOff>15256</xdr:rowOff>
    </xdr:to>
    <xdr:graphicFrame macro="">
      <xdr:nvGraphicFramePr>
        <xdr:cNvPr id="2071" name="Gráfico 2070">
          <a:extLst>
            <a:ext uri="{FF2B5EF4-FFF2-40B4-BE49-F238E27FC236}">
              <a16:creationId xmlns:a16="http://schemas.microsoft.com/office/drawing/2014/main" id="{A96FA3E4-F3E8-48EF-90EE-0C9AC8027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292316</xdr:colOff>
      <xdr:row>16</xdr:row>
      <xdr:rowOff>187616</xdr:rowOff>
    </xdr:from>
    <xdr:to>
      <xdr:col>28</xdr:col>
      <xdr:colOff>292316</xdr:colOff>
      <xdr:row>19</xdr:row>
      <xdr:rowOff>48116</xdr:rowOff>
    </xdr:to>
    <xdr:cxnSp macro="">
      <xdr:nvCxnSpPr>
        <xdr:cNvPr id="2072" name="Conector reto 2071">
          <a:extLst>
            <a:ext uri="{FF2B5EF4-FFF2-40B4-BE49-F238E27FC236}">
              <a16:creationId xmlns:a16="http://schemas.microsoft.com/office/drawing/2014/main" id="{6F39B4B8-D8C0-435A-B01F-AE10FC090DD8}"/>
            </a:ext>
          </a:extLst>
        </xdr:cNvPr>
        <xdr:cNvCxnSpPr/>
      </xdr:nvCxnSpPr>
      <xdr:spPr>
        <a:xfrm flipH="1">
          <a:off x="17437316" y="3616616"/>
          <a:ext cx="0" cy="432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203406</xdr:colOff>
      <xdr:row>49</xdr:row>
      <xdr:rowOff>138770</xdr:rowOff>
    </xdr:from>
    <xdr:to>
      <xdr:col>32</xdr:col>
      <xdr:colOff>302222</xdr:colOff>
      <xdr:row>51</xdr:row>
      <xdr:rowOff>112558</xdr:rowOff>
    </xdr:to>
    <xdr:sp macro="" textlink="">
      <xdr:nvSpPr>
        <xdr:cNvPr id="2073" name="Retângulo: Cantos Arredondados 2072">
          <a:extLst>
            <a:ext uri="{FF2B5EF4-FFF2-40B4-BE49-F238E27FC236}">
              <a16:creationId xmlns:a16="http://schemas.microsoft.com/office/drawing/2014/main" id="{2A1D3B70-B971-4524-99E1-F36FF3AD63F3}"/>
            </a:ext>
          </a:extLst>
        </xdr:cNvPr>
        <xdr:cNvSpPr/>
      </xdr:nvSpPr>
      <xdr:spPr>
        <a:xfrm>
          <a:off x="203406" y="9473270"/>
          <a:ext cx="19462581" cy="354788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0</xdr:col>
      <xdr:colOff>281828</xdr:colOff>
      <xdr:row>44</xdr:row>
      <xdr:rowOff>61071</xdr:rowOff>
    </xdr:from>
    <xdr:to>
      <xdr:col>18</xdr:col>
      <xdr:colOff>607041</xdr:colOff>
      <xdr:row>49</xdr:row>
      <xdr:rowOff>50353</xdr:rowOff>
    </xdr:to>
    <xdr:sp macro="" textlink="">
      <xdr:nvSpPr>
        <xdr:cNvPr id="2074" name="Retângulo: Cantos Arredondados 2073">
          <a:extLst>
            <a:ext uri="{FF2B5EF4-FFF2-40B4-BE49-F238E27FC236}">
              <a16:creationId xmlns:a16="http://schemas.microsoft.com/office/drawing/2014/main" id="{41F6EC29-C6AF-4D67-8D99-AC1C01D91709}"/>
            </a:ext>
          </a:extLst>
        </xdr:cNvPr>
        <xdr:cNvSpPr/>
      </xdr:nvSpPr>
      <xdr:spPr>
        <a:xfrm>
          <a:off x="281828" y="8824071"/>
          <a:ext cx="11346999" cy="941782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0</xdr:col>
      <xdr:colOff>434230</xdr:colOff>
      <xdr:row>45</xdr:row>
      <xdr:rowOff>107503</xdr:rowOff>
    </xdr:from>
    <xdr:to>
      <xdr:col>1</xdr:col>
      <xdr:colOff>391310</xdr:colOff>
      <xdr:row>48</xdr:row>
      <xdr:rowOff>20098</xdr:rowOff>
    </xdr:to>
    <xdr:pic>
      <xdr:nvPicPr>
        <xdr:cNvPr id="2075" name="Imagem 2074" descr="Conclusão - ícones de arquivos e pastas grátis">
          <a:extLst>
            <a:ext uri="{FF2B5EF4-FFF2-40B4-BE49-F238E27FC236}">
              <a16:creationId xmlns:a16="http://schemas.microsoft.com/office/drawing/2014/main" id="{8D36DA25-9725-41A4-A586-9EE83048A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230" y="9632503"/>
          <a:ext cx="566680" cy="484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446889</xdr:colOff>
      <xdr:row>46</xdr:row>
      <xdr:rowOff>45710</xdr:rowOff>
    </xdr:from>
    <xdr:to>
      <xdr:col>2</xdr:col>
      <xdr:colOff>187513</xdr:colOff>
      <xdr:row>48</xdr:row>
      <xdr:rowOff>42695</xdr:rowOff>
    </xdr:to>
    <xdr:pic>
      <xdr:nvPicPr>
        <xdr:cNvPr id="2076" name="Imagem 2075">
          <a:extLst>
            <a:ext uri="{FF2B5EF4-FFF2-40B4-BE49-F238E27FC236}">
              <a16:creationId xmlns:a16="http://schemas.microsoft.com/office/drawing/2014/main" id="{A88A4724-995F-4B07-8FDE-B59F4A64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7803" y="8808710"/>
          <a:ext cx="351538" cy="377985"/>
        </a:xfrm>
        <a:prstGeom prst="rect">
          <a:avLst/>
        </a:prstGeom>
      </xdr:spPr>
    </xdr:pic>
    <xdr:clientData/>
  </xdr:twoCellAnchor>
  <xdr:twoCellAnchor>
    <xdr:from>
      <xdr:col>7</xdr:col>
      <xdr:colOff>478493</xdr:colOff>
      <xdr:row>44</xdr:row>
      <xdr:rowOff>189953</xdr:rowOff>
    </xdr:from>
    <xdr:to>
      <xdr:col>7</xdr:col>
      <xdr:colOff>478493</xdr:colOff>
      <xdr:row>48</xdr:row>
      <xdr:rowOff>142328</xdr:rowOff>
    </xdr:to>
    <xdr:cxnSp macro="">
      <xdr:nvCxnSpPr>
        <xdr:cNvPr id="2077" name="Conector reto 2076">
          <a:extLst>
            <a:ext uri="{FF2B5EF4-FFF2-40B4-BE49-F238E27FC236}">
              <a16:creationId xmlns:a16="http://schemas.microsoft.com/office/drawing/2014/main" id="{CAE15F07-AE2E-4854-9F58-DFE8C3E13DBC}"/>
            </a:ext>
          </a:extLst>
        </xdr:cNvPr>
        <xdr:cNvCxnSpPr/>
      </xdr:nvCxnSpPr>
      <xdr:spPr>
        <a:xfrm>
          <a:off x="4764743" y="8952953"/>
          <a:ext cx="0" cy="714375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499340</xdr:colOff>
      <xdr:row>46</xdr:row>
      <xdr:rowOff>38383</xdr:rowOff>
    </xdr:from>
    <xdr:to>
      <xdr:col>8</xdr:col>
      <xdr:colOff>241428</xdr:colOff>
      <xdr:row>48</xdr:row>
      <xdr:rowOff>35368</xdr:rowOff>
    </xdr:to>
    <xdr:pic>
      <xdr:nvPicPr>
        <xdr:cNvPr id="2078" name="Imagem 2077">
          <a:extLst>
            <a:ext uri="{FF2B5EF4-FFF2-40B4-BE49-F238E27FC236}">
              <a16:creationId xmlns:a16="http://schemas.microsoft.com/office/drawing/2014/main" id="{93FDEE74-BE6E-4320-87A9-6494C9E5A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56282" y="8801383"/>
          <a:ext cx="350223" cy="377985"/>
        </a:xfrm>
        <a:prstGeom prst="rect">
          <a:avLst/>
        </a:prstGeom>
      </xdr:spPr>
    </xdr:pic>
    <xdr:clientData/>
  </xdr:twoCellAnchor>
  <xdr:twoCellAnchor>
    <xdr:from>
      <xdr:col>14</xdr:col>
      <xdr:colOff>31987</xdr:colOff>
      <xdr:row>45</xdr:row>
      <xdr:rowOff>2035</xdr:rowOff>
    </xdr:from>
    <xdr:to>
      <xdr:col>14</xdr:col>
      <xdr:colOff>31987</xdr:colOff>
      <xdr:row>48</xdr:row>
      <xdr:rowOff>155959</xdr:rowOff>
    </xdr:to>
    <xdr:cxnSp macro="">
      <xdr:nvCxnSpPr>
        <xdr:cNvPr id="2079" name="Conector reto 2078">
          <a:extLst>
            <a:ext uri="{FF2B5EF4-FFF2-40B4-BE49-F238E27FC236}">
              <a16:creationId xmlns:a16="http://schemas.microsoft.com/office/drawing/2014/main" id="{D1A53DDA-3B7B-489B-A038-FB2EB0F059E6}"/>
            </a:ext>
          </a:extLst>
        </xdr:cNvPr>
        <xdr:cNvCxnSpPr/>
      </xdr:nvCxnSpPr>
      <xdr:spPr>
        <a:xfrm>
          <a:off x="8543689" y="8574535"/>
          <a:ext cx="0" cy="725424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29371</xdr:colOff>
      <xdr:row>46</xdr:row>
      <xdr:rowOff>45710</xdr:rowOff>
    </xdr:from>
    <xdr:to>
      <xdr:col>14</xdr:col>
      <xdr:colOff>379595</xdr:colOff>
      <xdr:row>48</xdr:row>
      <xdr:rowOff>42695</xdr:rowOff>
    </xdr:to>
    <xdr:pic>
      <xdr:nvPicPr>
        <xdr:cNvPr id="2080" name="Imagem 2079">
          <a:extLst>
            <a:ext uri="{FF2B5EF4-FFF2-40B4-BE49-F238E27FC236}">
              <a16:creationId xmlns:a16="http://schemas.microsoft.com/office/drawing/2014/main" id="{C3159BFE-5EA3-402D-A806-C94F77187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01871" y="8808710"/>
          <a:ext cx="350224" cy="377985"/>
        </a:xfrm>
        <a:prstGeom prst="rect">
          <a:avLst/>
        </a:prstGeom>
      </xdr:spPr>
    </xdr:pic>
    <xdr:clientData/>
  </xdr:twoCellAnchor>
  <xdr:twoCellAnchor>
    <xdr:from>
      <xdr:col>0</xdr:col>
      <xdr:colOff>347382</xdr:colOff>
      <xdr:row>49</xdr:row>
      <xdr:rowOff>174147</xdr:rowOff>
    </xdr:from>
    <xdr:to>
      <xdr:col>4</xdr:col>
      <xdr:colOff>147358</xdr:colOff>
      <xdr:row>51</xdr:row>
      <xdr:rowOff>78896</xdr:rowOff>
    </xdr:to>
    <xdr:sp macro="" textlink="">
      <xdr:nvSpPr>
        <xdr:cNvPr id="2088" name="CaixaDeTexto 2087">
          <a:extLst>
            <a:ext uri="{FF2B5EF4-FFF2-40B4-BE49-F238E27FC236}">
              <a16:creationId xmlns:a16="http://schemas.microsoft.com/office/drawing/2014/main" id="{94090E41-97A7-493D-8B05-5ECAD7AC78D1}"/>
            </a:ext>
          </a:extLst>
        </xdr:cNvPr>
        <xdr:cNvSpPr txBox="1"/>
      </xdr:nvSpPr>
      <xdr:spPr>
        <a:xfrm>
          <a:off x="347382" y="9508647"/>
          <a:ext cx="2220447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Atualização dos dados: </a:t>
          </a:r>
        </a:p>
      </xdr:txBody>
    </xdr:sp>
    <xdr:clientData/>
  </xdr:twoCellAnchor>
  <xdr:twoCellAnchor>
    <xdr:from>
      <xdr:col>2</xdr:col>
      <xdr:colOff>548370</xdr:colOff>
      <xdr:row>50</xdr:row>
      <xdr:rowOff>4803</xdr:rowOff>
    </xdr:from>
    <xdr:to>
      <xdr:col>4</xdr:col>
      <xdr:colOff>195630</xdr:colOff>
      <xdr:row>51</xdr:row>
      <xdr:rowOff>72838</xdr:rowOff>
    </xdr:to>
    <xdr:sp macro="" textlink="Base_Dados!G47">
      <xdr:nvSpPr>
        <xdr:cNvPr id="2089" name="CaixaDeTexto 2088">
          <a:extLst>
            <a:ext uri="{FF2B5EF4-FFF2-40B4-BE49-F238E27FC236}">
              <a16:creationId xmlns:a16="http://schemas.microsoft.com/office/drawing/2014/main" id="{9F442154-CDB6-4330-82EA-B89D9DA1D517}"/>
            </a:ext>
          </a:extLst>
        </xdr:cNvPr>
        <xdr:cNvSpPr txBox="1"/>
      </xdr:nvSpPr>
      <xdr:spPr>
        <a:xfrm>
          <a:off x="1758605" y="9529803"/>
          <a:ext cx="857496" cy="258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0A4E63A-79BE-4B66-B9B3-4DD1D2ED12C9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/>
            <a:t>13/10/2026</a:t>
          </a:fld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368453</xdr:colOff>
      <xdr:row>49</xdr:row>
      <xdr:rowOff>164005</xdr:rowOff>
    </xdr:from>
    <xdr:to>
      <xdr:col>17</xdr:col>
      <xdr:colOff>571199</xdr:colOff>
      <xdr:row>51</xdr:row>
      <xdr:rowOff>68754</xdr:rowOff>
    </xdr:to>
    <xdr:sp macro="" textlink="">
      <xdr:nvSpPr>
        <xdr:cNvPr id="2090" name="CaixaDeTexto 2089">
          <a:extLst>
            <a:ext uri="{FF2B5EF4-FFF2-40B4-BE49-F238E27FC236}">
              <a16:creationId xmlns:a16="http://schemas.microsoft.com/office/drawing/2014/main" id="{563474A2-8ECB-4A1F-B399-FB526C8C42B2}"/>
            </a:ext>
          </a:extLst>
        </xdr:cNvPr>
        <xdr:cNvSpPr txBox="1"/>
      </xdr:nvSpPr>
      <xdr:spPr>
        <a:xfrm>
          <a:off x="7629865" y="9498505"/>
          <a:ext cx="3228334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Fonte: Centro de Monitoramento Geotecnico</a:t>
          </a:r>
        </a:p>
      </xdr:txBody>
    </xdr:sp>
    <xdr:clientData/>
  </xdr:twoCellAnchor>
  <xdr:twoCellAnchor>
    <xdr:from>
      <xdr:col>19</xdr:col>
      <xdr:colOff>207231</xdr:colOff>
      <xdr:row>44</xdr:row>
      <xdr:rowOff>69273</xdr:rowOff>
    </xdr:from>
    <xdr:to>
      <xdr:col>28</xdr:col>
      <xdr:colOff>532318</xdr:colOff>
      <xdr:row>49</xdr:row>
      <xdr:rowOff>58555</xdr:rowOff>
    </xdr:to>
    <xdr:sp macro="" textlink="">
      <xdr:nvSpPr>
        <xdr:cNvPr id="2091" name="Retângulo: Cantos Arredondados 2090">
          <a:extLst>
            <a:ext uri="{FF2B5EF4-FFF2-40B4-BE49-F238E27FC236}">
              <a16:creationId xmlns:a16="http://schemas.microsoft.com/office/drawing/2014/main" id="{9AC86778-EE1C-44B3-B31B-EC5B6AEF3A56}"/>
            </a:ext>
          </a:extLst>
        </xdr:cNvPr>
        <xdr:cNvSpPr/>
      </xdr:nvSpPr>
      <xdr:spPr>
        <a:xfrm>
          <a:off x="11723822" y="9403773"/>
          <a:ext cx="5780314" cy="941782"/>
        </a:xfrm>
        <a:prstGeom prst="round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19</xdr:col>
      <xdr:colOff>274989</xdr:colOff>
      <xdr:row>46</xdr:row>
      <xdr:rowOff>16373</xdr:rowOff>
    </xdr:from>
    <xdr:to>
      <xdr:col>20</xdr:col>
      <xdr:colOff>154989</xdr:colOff>
      <xdr:row>48</xdr:row>
      <xdr:rowOff>16373</xdr:rowOff>
    </xdr:to>
    <xdr:pic>
      <xdr:nvPicPr>
        <xdr:cNvPr id="2092" name="Imagem 2091" descr="Dashboard Report Icon SVG Vector &amp; PNG Free Download | UXWing">
          <a:extLst>
            <a:ext uri="{FF2B5EF4-FFF2-40B4-BE49-F238E27FC236}">
              <a16:creationId xmlns:a16="http://schemas.microsoft.com/office/drawing/2014/main" id="{91982344-ED23-4357-85E2-E54B732A8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7389" y="8779373"/>
          <a:ext cx="4896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384363</xdr:colOff>
      <xdr:row>46</xdr:row>
      <xdr:rowOff>39506</xdr:rowOff>
    </xdr:from>
    <xdr:to>
      <xdr:col>23</xdr:col>
      <xdr:colOff>302567</xdr:colOff>
      <xdr:row>47</xdr:row>
      <xdr:rowOff>134755</xdr:rowOff>
    </xdr:to>
    <xdr:sp macro="" textlink="">
      <xdr:nvSpPr>
        <xdr:cNvPr id="2093" name="CaixaDeTexto 2092">
          <a:extLst>
            <a:ext uri="{FF2B5EF4-FFF2-40B4-BE49-F238E27FC236}">
              <a16:creationId xmlns:a16="http://schemas.microsoft.com/office/drawing/2014/main" id="{0C7A7808-2523-49C2-9964-014BFBBB3D6C}"/>
            </a:ext>
          </a:extLst>
        </xdr:cNvPr>
        <xdr:cNvSpPr txBox="1"/>
      </xdr:nvSpPr>
      <xdr:spPr>
        <a:xfrm>
          <a:off x="11966763" y="8802506"/>
          <a:ext cx="2356604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PROXIMOS PASSOS</a:t>
          </a:r>
        </a:p>
      </xdr:txBody>
    </xdr:sp>
    <xdr:clientData/>
  </xdr:twoCellAnchor>
  <xdr:twoCellAnchor editAs="oneCell">
    <xdr:from>
      <xdr:col>0</xdr:col>
      <xdr:colOff>487456</xdr:colOff>
      <xdr:row>0</xdr:row>
      <xdr:rowOff>0</xdr:rowOff>
    </xdr:from>
    <xdr:to>
      <xdr:col>2</xdr:col>
      <xdr:colOff>20810</xdr:colOff>
      <xdr:row>3</xdr:row>
      <xdr:rowOff>179294</xdr:rowOff>
    </xdr:to>
    <xdr:pic>
      <xdr:nvPicPr>
        <xdr:cNvPr id="2094" name="Imagem 2093">
          <a:extLst>
            <a:ext uri="{FF2B5EF4-FFF2-40B4-BE49-F238E27FC236}">
              <a16:creationId xmlns:a16="http://schemas.microsoft.com/office/drawing/2014/main" id="{8A163710-AB8F-3546-FFE9-059E594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17773" y1="45898" x2="17773" y2="45898"/>
                      <a14:foregroundMark x1="42578" y1="48047" x2="42578" y2="48047"/>
                      <a14:foregroundMark x1="55078" y1="48438" x2="55078" y2="48438"/>
                      <a14:foregroundMark x1="67578" y1="49414" x2="67578" y2="49414"/>
                      <a14:foregroundMark x1="63672" y1="36328" x2="63672" y2="36328"/>
                      <a14:foregroundMark x1="52734" y1="22852" x2="52734" y2="2285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7456" y="0"/>
          <a:ext cx="757997" cy="750794"/>
        </a:xfrm>
        <a:prstGeom prst="rect">
          <a:avLst/>
        </a:prstGeom>
      </xdr:spPr>
    </xdr:pic>
    <xdr:clientData/>
  </xdr:twoCellAnchor>
  <xdr:twoCellAnchor>
    <xdr:from>
      <xdr:col>1</xdr:col>
      <xdr:colOff>129990</xdr:colOff>
      <xdr:row>44</xdr:row>
      <xdr:rowOff>64202</xdr:rowOff>
    </xdr:from>
    <xdr:to>
      <xdr:col>5</xdr:col>
      <xdr:colOff>52677</xdr:colOff>
      <xdr:row>45</xdr:row>
      <xdr:rowOff>159451</xdr:rowOff>
    </xdr:to>
    <xdr:sp macro="" textlink="">
      <xdr:nvSpPr>
        <xdr:cNvPr id="2095" name="CaixaDeTexto 2094">
          <a:extLst>
            <a:ext uri="{FF2B5EF4-FFF2-40B4-BE49-F238E27FC236}">
              <a16:creationId xmlns:a16="http://schemas.microsoft.com/office/drawing/2014/main" id="{9FB1AD66-BA72-4BE0-B4A0-A9C50CE301B5}"/>
            </a:ext>
          </a:extLst>
        </xdr:cNvPr>
        <xdr:cNvSpPr txBox="1"/>
      </xdr:nvSpPr>
      <xdr:spPr>
        <a:xfrm>
          <a:off x="738125" y="8446202"/>
          <a:ext cx="2355225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Comportamento</a:t>
          </a:r>
        </a:p>
      </xdr:txBody>
    </xdr:sp>
    <xdr:clientData/>
  </xdr:twoCellAnchor>
  <xdr:twoCellAnchor>
    <xdr:from>
      <xdr:col>2</xdr:col>
      <xdr:colOff>80210</xdr:colOff>
      <xdr:row>45</xdr:row>
      <xdr:rowOff>143419</xdr:rowOff>
    </xdr:from>
    <xdr:to>
      <xdr:col>7</xdr:col>
      <xdr:colOff>431131</xdr:colOff>
      <xdr:row>49</xdr:row>
      <xdr:rowOff>172830</xdr:rowOff>
    </xdr:to>
    <xdr:sp macro="" textlink="">
      <xdr:nvSpPr>
        <xdr:cNvPr id="2096" name="CaixaDeTexto 2095">
          <a:extLst>
            <a:ext uri="{FF2B5EF4-FFF2-40B4-BE49-F238E27FC236}">
              <a16:creationId xmlns:a16="http://schemas.microsoft.com/office/drawing/2014/main" id="{27942CC6-2467-4082-ACD9-DA123E15BBF2}"/>
            </a:ext>
          </a:extLst>
        </xdr:cNvPr>
        <xdr:cNvSpPr txBox="1"/>
      </xdr:nvSpPr>
      <xdr:spPr>
        <a:xfrm>
          <a:off x="1296479" y="8715919"/>
          <a:ext cx="3391594" cy="791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Aptos Narrow (Corpo)"/>
              <a:ea typeface="Microsoft GothicNeo" panose="020B0500000101010101" pitchFamily="34" charset="-127"/>
              <a:cs typeface="Microsoft GothicNeo" panose="020B0500000101010101" pitchFamily="34" charset="-127"/>
            </a:rPr>
            <a:t>Em 2026, foram registrados                             na BCL e                             no DRM até Setembro</a:t>
          </a:r>
        </a:p>
      </xdr:txBody>
    </xdr:sp>
    <xdr:clientData/>
  </xdr:twoCellAnchor>
  <xdr:twoCellAnchor>
    <xdr:from>
      <xdr:col>5</xdr:col>
      <xdr:colOff>293628</xdr:colOff>
      <xdr:row>45</xdr:row>
      <xdr:rowOff>148897</xdr:rowOff>
    </xdr:from>
    <xdr:to>
      <xdr:col>7</xdr:col>
      <xdr:colOff>289559</xdr:colOff>
      <xdr:row>47</xdr:row>
      <xdr:rowOff>81663</xdr:rowOff>
    </xdr:to>
    <xdr:sp macro="" textlink="Base_Dados!H16">
      <xdr:nvSpPr>
        <xdr:cNvPr id="2097" name="CaixaDeTexto 2096">
          <a:extLst>
            <a:ext uri="{FF2B5EF4-FFF2-40B4-BE49-F238E27FC236}">
              <a16:creationId xmlns:a16="http://schemas.microsoft.com/office/drawing/2014/main" id="{3D3EFDAD-6E87-4999-804F-2CC4ADD11730}"/>
            </a:ext>
          </a:extLst>
        </xdr:cNvPr>
        <xdr:cNvSpPr txBox="1"/>
      </xdr:nvSpPr>
      <xdr:spPr>
        <a:xfrm>
          <a:off x="3341628" y="8378497"/>
          <a:ext cx="1215131" cy="298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B2D4082-26B1-49F7-889B-1C4ECD861435}" type="TxLink">
            <a:rPr lang="en-US" sz="1400" b="1" baseline="0">
              <a:solidFill>
                <a:schemeClr val="accent2"/>
              </a:solidFill>
              <a:effectLst/>
              <a:latin typeface="+mj-lt"/>
              <a:ea typeface="Microsoft GothicNeo" panose="020B0500000101010101" pitchFamily="34" charset="-127"/>
              <a:cs typeface="Microsoft GothicNeo" panose="020B0500000101010101" pitchFamily="34" charset="-127"/>
            </a:rPr>
            <a:pPr marL="0" indent="0" algn="l"/>
            <a:t>999,25</a:t>
          </a:fld>
          <a:r>
            <a:rPr lang="en-US" sz="1400" b="1" baseline="0">
              <a:solidFill>
                <a:schemeClr val="accent2"/>
              </a:solidFill>
              <a:effectLst/>
              <a:latin typeface="+mj-lt"/>
              <a:ea typeface="Microsoft GothicNeo" panose="020B0500000101010101" pitchFamily="34" charset="-127"/>
              <a:cs typeface="Microsoft GothicNeo" panose="020B0500000101010101" pitchFamily="34" charset="-127"/>
            </a:rPr>
            <a:t> mm</a:t>
          </a:r>
          <a:endParaRPr lang="pt-BR" sz="1400" b="1" baseline="0">
            <a:solidFill>
              <a:schemeClr val="accent2"/>
            </a:solidFill>
            <a:effectLst/>
            <a:latin typeface="+mj-lt"/>
            <a:ea typeface="Microsoft GothicNeo" panose="020B0500000101010101" pitchFamily="34" charset="-127"/>
            <a:cs typeface="Microsoft GothicNeo" panose="020B0500000101010101" pitchFamily="34" charset="-127"/>
          </a:endParaRPr>
        </a:p>
      </xdr:txBody>
    </xdr:sp>
    <xdr:clientData/>
  </xdr:twoCellAnchor>
  <xdr:twoCellAnchor>
    <xdr:from>
      <xdr:col>2</xdr:col>
      <xdr:colOff>518517</xdr:colOff>
      <xdr:row>46</xdr:row>
      <xdr:rowOff>171632</xdr:rowOff>
    </xdr:from>
    <xdr:to>
      <xdr:col>4</xdr:col>
      <xdr:colOff>407284</xdr:colOff>
      <xdr:row>48</xdr:row>
      <xdr:rowOff>104398</xdr:rowOff>
    </xdr:to>
    <xdr:sp macro="" textlink="Base_Dados!H36">
      <xdr:nvSpPr>
        <xdr:cNvPr id="2098" name="CaixaDeTexto 2097">
          <a:extLst>
            <a:ext uri="{FF2B5EF4-FFF2-40B4-BE49-F238E27FC236}">
              <a16:creationId xmlns:a16="http://schemas.microsoft.com/office/drawing/2014/main" id="{9FF50F0D-4866-4666-A4E8-DED5C13D1A73}"/>
            </a:ext>
          </a:extLst>
        </xdr:cNvPr>
        <xdr:cNvSpPr txBox="1"/>
      </xdr:nvSpPr>
      <xdr:spPr>
        <a:xfrm>
          <a:off x="1737717" y="8584112"/>
          <a:ext cx="1107967" cy="298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AD771F57-8A82-4241-9EC1-AE9A51EE8A06}" type="TxLink">
            <a:rPr lang="en-US" sz="1400" b="1" baseline="0">
              <a:solidFill>
                <a:schemeClr val="accent2"/>
              </a:solidFill>
              <a:effectLst/>
              <a:latin typeface="+mj-lt"/>
              <a:ea typeface="Microsoft GothicNeo" panose="020B0500000101010101" pitchFamily="34" charset="-127"/>
              <a:cs typeface="Microsoft GothicNeo" panose="020B0500000101010101" pitchFamily="34" charset="-127"/>
            </a:rPr>
            <a:pPr marL="0" indent="0" algn="l"/>
            <a:t>908,25</a:t>
          </a:fld>
          <a:r>
            <a:rPr lang="en-US" sz="1400" b="1" baseline="0">
              <a:solidFill>
                <a:schemeClr val="accent2"/>
              </a:solidFill>
              <a:effectLst/>
              <a:latin typeface="+mj-lt"/>
              <a:ea typeface="Microsoft GothicNeo" panose="020B0500000101010101" pitchFamily="34" charset="-127"/>
              <a:cs typeface="Microsoft GothicNeo" panose="020B0500000101010101" pitchFamily="34" charset="-127"/>
            </a:rPr>
            <a:t> mm</a:t>
          </a:r>
          <a:endParaRPr lang="pt-BR" sz="1400" b="1" baseline="0">
            <a:solidFill>
              <a:schemeClr val="accent2"/>
            </a:solidFill>
            <a:effectLst/>
            <a:latin typeface="+mj-lt"/>
            <a:ea typeface="Microsoft GothicNeo" panose="020B0500000101010101" pitchFamily="34" charset="-127"/>
            <a:cs typeface="Microsoft GothicNeo" panose="020B0500000101010101" pitchFamily="34" charset="-127"/>
          </a:endParaRPr>
        </a:p>
      </xdr:txBody>
    </xdr:sp>
    <xdr:clientData/>
  </xdr:twoCellAnchor>
  <xdr:twoCellAnchor>
    <xdr:from>
      <xdr:col>6</xdr:col>
      <xdr:colOff>595896</xdr:colOff>
      <xdr:row>44</xdr:row>
      <xdr:rowOff>64202</xdr:rowOff>
    </xdr:from>
    <xdr:to>
      <xdr:col>10</xdr:col>
      <xdr:colOff>518583</xdr:colOff>
      <xdr:row>45</xdr:row>
      <xdr:rowOff>159451</xdr:rowOff>
    </xdr:to>
    <xdr:sp macro="" textlink="">
      <xdr:nvSpPr>
        <xdr:cNvPr id="2099" name="CaixaDeTexto 2098">
          <a:extLst>
            <a:ext uri="{FF2B5EF4-FFF2-40B4-BE49-F238E27FC236}">
              <a16:creationId xmlns:a16="http://schemas.microsoft.com/office/drawing/2014/main" id="{F77676E1-CB96-40EE-BAE8-5F15EF96034A}"/>
            </a:ext>
          </a:extLst>
        </xdr:cNvPr>
        <xdr:cNvSpPr txBox="1"/>
      </xdr:nvSpPr>
      <xdr:spPr>
        <a:xfrm>
          <a:off x="4244704" y="8446202"/>
          <a:ext cx="2355225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Comparativo</a:t>
          </a:r>
        </a:p>
      </xdr:txBody>
    </xdr:sp>
    <xdr:clientData/>
  </xdr:twoCellAnchor>
  <xdr:twoCellAnchor>
    <xdr:from>
      <xdr:col>8</xdr:col>
      <xdr:colOff>139512</xdr:colOff>
      <xdr:row>45</xdr:row>
      <xdr:rowOff>56782</xdr:rowOff>
    </xdr:from>
    <xdr:to>
      <xdr:col>14</xdr:col>
      <xdr:colOff>38624</xdr:colOff>
      <xdr:row>49</xdr:row>
      <xdr:rowOff>103238</xdr:rowOff>
    </xdr:to>
    <xdr:sp macro="" textlink="">
      <xdr:nvSpPr>
        <xdr:cNvPr id="2100" name="CaixaDeTexto 2099">
          <a:extLst>
            <a:ext uri="{FF2B5EF4-FFF2-40B4-BE49-F238E27FC236}">
              <a16:creationId xmlns:a16="http://schemas.microsoft.com/office/drawing/2014/main" id="{F7C169EF-0510-43B0-B9DC-3660F42E444B}"/>
            </a:ext>
          </a:extLst>
        </xdr:cNvPr>
        <xdr:cNvSpPr txBox="1"/>
      </xdr:nvSpPr>
      <xdr:spPr>
        <a:xfrm>
          <a:off x="4980453" y="8629282"/>
          <a:ext cx="3529818" cy="8084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  <a:t>O acumulado de 2026 apresenta aumento de                    na B01 de                      e                       no B02 em relação a 2025</a:t>
          </a:r>
        </a:p>
      </xdr:txBody>
    </xdr:sp>
    <xdr:clientData/>
  </xdr:twoCellAnchor>
  <xdr:twoCellAnchor>
    <xdr:from>
      <xdr:col>13</xdr:col>
      <xdr:colOff>439176</xdr:colOff>
      <xdr:row>44</xdr:row>
      <xdr:rowOff>64202</xdr:rowOff>
    </xdr:from>
    <xdr:to>
      <xdr:col>17</xdr:col>
      <xdr:colOff>77439</xdr:colOff>
      <xdr:row>45</xdr:row>
      <xdr:rowOff>159451</xdr:rowOff>
    </xdr:to>
    <xdr:sp macro="" textlink="">
      <xdr:nvSpPr>
        <xdr:cNvPr id="2101" name="CaixaDeTexto 2100">
          <a:extLst>
            <a:ext uri="{FF2B5EF4-FFF2-40B4-BE49-F238E27FC236}">
              <a16:creationId xmlns:a16="http://schemas.microsoft.com/office/drawing/2014/main" id="{1E8DE4E1-F1E5-4AC0-BA19-A3EBAB7238C3}"/>
            </a:ext>
          </a:extLst>
        </xdr:cNvPr>
        <xdr:cNvSpPr txBox="1"/>
      </xdr:nvSpPr>
      <xdr:spPr>
        <a:xfrm>
          <a:off x="8305705" y="8446202"/>
          <a:ext cx="2058734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Destaque</a:t>
          </a:r>
        </a:p>
      </xdr:txBody>
    </xdr:sp>
    <xdr:clientData/>
  </xdr:twoCellAnchor>
  <xdr:twoCellAnchor>
    <xdr:from>
      <xdr:col>14</xdr:col>
      <xdr:colOff>413000</xdr:colOff>
      <xdr:row>45</xdr:row>
      <xdr:rowOff>81627</xdr:rowOff>
    </xdr:from>
    <xdr:to>
      <xdr:col>19</xdr:col>
      <xdr:colOff>73400</xdr:colOff>
      <xdr:row>49</xdr:row>
      <xdr:rowOff>111038</xdr:rowOff>
    </xdr:to>
    <xdr:sp macro="" textlink="">
      <xdr:nvSpPr>
        <xdr:cNvPr id="2103" name="CaixaDeTexto 2102">
          <a:extLst>
            <a:ext uri="{FF2B5EF4-FFF2-40B4-BE49-F238E27FC236}">
              <a16:creationId xmlns:a16="http://schemas.microsoft.com/office/drawing/2014/main" id="{624A557C-3CEA-4415-A140-38A6E076C6F2}"/>
            </a:ext>
          </a:extLst>
        </xdr:cNvPr>
        <xdr:cNvSpPr txBox="1"/>
      </xdr:nvSpPr>
      <xdr:spPr>
        <a:xfrm>
          <a:off x="8884647" y="8654127"/>
          <a:ext cx="2685988" cy="791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  <a:t>Janeiro de 2026 foi o mês de maior precipitação nas 2 estruturas</a:t>
          </a:r>
        </a:p>
      </xdr:txBody>
    </xdr:sp>
    <xdr:clientData/>
  </xdr:twoCellAnchor>
  <xdr:twoCellAnchor>
    <xdr:from>
      <xdr:col>9</xdr:col>
      <xdr:colOff>280581</xdr:colOff>
      <xdr:row>46</xdr:row>
      <xdr:rowOff>78675</xdr:rowOff>
    </xdr:from>
    <xdr:to>
      <xdr:col>10</xdr:col>
      <xdr:colOff>520262</xdr:colOff>
      <xdr:row>48</xdr:row>
      <xdr:rowOff>11441</xdr:rowOff>
    </xdr:to>
    <xdr:sp macro="" textlink="Base_Dados!N15">
      <xdr:nvSpPr>
        <xdr:cNvPr id="2104" name="CaixaDeTexto 2103">
          <a:extLst>
            <a:ext uri="{FF2B5EF4-FFF2-40B4-BE49-F238E27FC236}">
              <a16:creationId xmlns:a16="http://schemas.microsoft.com/office/drawing/2014/main" id="{04DBC794-4A61-4311-A5B5-947E0C65F25D}"/>
            </a:ext>
          </a:extLst>
        </xdr:cNvPr>
        <xdr:cNvSpPr txBox="1"/>
      </xdr:nvSpPr>
      <xdr:spPr>
        <a:xfrm>
          <a:off x="5766981" y="8539503"/>
          <a:ext cx="849281" cy="300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6B9373A-B6DB-4D16-9A13-37700098A4F5}" type="TxLink">
            <a:rPr lang="en-US" sz="1200" b="1" i="0" u="none" strike="noStrike" baseline="0">
              <a:solidFill>
                <a:srgbClr val="000000"/>
              </a:solidFill>
              <a:effectLst/>
              <a:latin typeface="Aptos Narrow"/>
              <a:ea typeface="Microsoft GothicNeo" panose="020B0500000101010101" pitchFamily="34" charset="-127"/>
              <a:cs typeface="Microsoft GothicNeo" panose="020B0500000101010101" pitchFamily="34" charset="-127"/>
            </a:rPr>
            <a:pPr marL="0" indent="0" algn="l"/>
            <a:t>▲ 61,17%</a:t>
          </a:fld>
          <a:endParaRPr lang="pt-BR" sz="1600" b="1" baseline="0">
            <a:solidFill>
              <a:schemeClr val="accent2"/>
            </a:solidFill>
            <a:effectLst/>
            <a:latin typeface="+mj-lt"/>
            <a:ea typeface="Microsoft GothicNeo" panose="020B0500000101010101" pitchFamily="34" charset="-127"/>
            <a:cs typeface="Microsoft GothicNeo" panose="020B0500000101010101" pitchFamily="34" charset="-127"/>
          </a:endParaRPr>
        </a:p>
      </xdr:txBody>
    </xdr:sp>
    <xdr:clientData/>
  </xdr:twoCellAnchor>
  <xdr:twoCellAnchor>
    <xdr:from>
      <xdr:col>10</xdr:col>
      <xdr:colOff>473382</xdr:colOff>
      <xdr:row>46</xdr:row>
      <xdr:rowOff>83243</xdr:rowOff>
    </xdr:from>
    <xdr:to>
      <xdr:col>12</xdr:col>
      <xdr:colOff>99848</xdr:colOff>
      <xdr:row>48</xdr:row>
      <xdr:rowOff>16009</xdr:rowOff>
    </xdr:to>
    <xdr:sp macro="" textlink="Base_Dados!N35">
      <xdr:nvSpPr>
        <xdr:cNvPr id="2105" name="CaixaDeTexto 2104">
          <a:extLst>
            <a:ext uri="{FF2B5EF4-FFF2-40B4-BE49-F238E27FC236}">
              <a16:creationId xmlns:a16="http://schemas.microsoft.com/office/drawing/2014/main" id="{15C505AF-8151-49FD-93B7-87165C0D44FC}"/>
            </a:ext>
          </a:extLst>
        </xdr:cNvPr>
        <xdr:cNvSpPr txBox="1"/>
      </xdr:nvSpPr>
      <xdr:spPr>
        <a:xfrm>
          <a:off x="6569382" y="8544071"/>
          <a:ext cx="845666" cy="300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A447B1A7-EBF5-467C-B3C9-798B00522DA8}" type="TxLink">
            <a:rPr lang="en-US" sz="1200" b="1" i="0" u="none" strike="noStrike" baseline="0">
              <a:solidFill>
                <a:srgbClr val="000000"/>
              </a:solidFill>
              <a:effectLst/>
              <a:latin typeface="Aptos Narrow"/>
              <a:ea typeface="Microsoft GothicNeo" panose="020B0500000101010101" pitchFamily="34" charset="-127"/>
              <a:cs typeface="Microsoft GothicNeo" panose="020B0500000101010101" pitchFamily="34" charset="-127"/>
            </a:rPr>
            <a:pPr marL="0" indent="0" algn="l"/>
            <a:t>▲ 63,72%</a:t>
          </a:fld>
          <a:endParaRPr lang="pt-BR" sz="1200" b="1" i="0" u="none" strike="noStrike" baseline="0">
            <a:solidFill>
              <a:srgbClr val="000000"/>
            </a:solidFill>
            <a:effectLst/>
            <a:latin typeface="Aptos Narrow"/>
            <a:ea typeface="Microsoft GothicNeo" panose="020B0500000101010101" pitchFamily="34" charset="-127"/>
            <a:cs typeface="Microsoft GothicNeo" panose="020B0500000101010101" pitchFamily="34" charset="-127"/>
          </a:endParaRPr>
        </a:p>
      </xdr:txBody>
    </xdr:sp>
    <xdr:clientData/>
  </xdr:twoCellAnchor>
  <xdr:twoCellAnchor>
    <xdr:from>
      <xdr:col>22</xdr:col>
      <xdr:colOff>520575</xdr:colOff>
      <xdr:row>44</xdr:row>
      <xdr:rowOff>139337</xdr:rowOff>
    </xdr:from>
    <xdr:to>
      <xdr:col>28</xdr:col>
      <xdr:colOff>457200</xdr:colOff>
      <xdr:row>49</xdr:row>
      <xdr:rowOff>47625</xdr:rowOff>
    </xdr:to>
    <xdr:sp macro="" textlink="">
      <xdr:nvSpPr>
        <xdr:cNvPr id="2106" name="CaixaDeTexto 2105">
          <a:extLst>
            <a:ext uri="{FF2B5EF4-FFF2-40B4-BE49-F238E27FC236}">
              <a16:creationId xmlns:a16="http://schemas.microsoft.com/office/drawing/2014/main" id="{341A430F-3202-4DA0-B244-2379A6E9B3C6}"/>
            </a:ext>
          </a:extLst>
        </xdr:cNvPr>
        <xdr:cNvSpPr txBox="1"/>
      </xdr:nvSpPr>
      <xdr:spPr>
        <a:xfrm>
          <a:off x="13931775" y="8521337"/>
          <a:ext cx="3594225" cy="860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  <a:t>• Atualização mensal dos dados;</a:t>
          </a:r>
          <a:b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</a:br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  <a:t>• Monitoramento do acumulado por estrutura;</a:t>
          </a:r>
          <a:b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</a:br>
          <a:r>
            <a:rPr lang="pt-BR" sz="14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Microsoft GothicNeo" panose="020B0500000101010101" pitchFamily="34" charset="-127"/>
              <a:cs typeface="Microsoft GothicNeo" panose="020B0500000101010101" pitchFamily="34" charset="-127"/>
            </a:rPr>
            <a:t>• Acompanhamento da variação 2026 × 2025.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EBBD8-F321-41FB-89C9-9C2653C5DF09}" name="Tabela1" displayName="Tabela1" ref="C7:E19" totalsRowShown="0" headerRowDxfId="9" dataDxfId="8">
  <autoFilter ref="C7:E19" xr:uid="{811EBBD8-F321-41FB-89C9-9C2653C5DF09}"/>
  <tableColumns count="3">
    <tableColumn id="1" xr3:uid="{3A89770F-47B7-4745-B7C1-053797A4B694}" name="Mês" dataDxfId="7"/>
    <tableColumn id="2" xr3:uid="{BBBEFEDF-4CF4-4E80-8119-A1858A549356}" name="2025 (mm)" dataDxfId="6"/>
    <tableColumn id="3" xr3:uid="{FEA6FFBD-0AE5-415D-A371-E0FF6B150305}" name="2026 (mm)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578B62-2DBB-49D6-BAFC-A18D0675544A}" name="Tabela2" displayName="Tabela2" ref="C27:E39" totalsRowShown="0" headerRowDxfId="4" dataDxfId="3">
  <autoFilter ref="C27:E39" xr:uid="{2C578B62-2DBB-49D6-BAFC-A18D0675544A}"/>
  <tableColumns count="3">
    <tableColumn id="1" xr3:uid="{338A552A-B374-4F5D-8621-53142C3A62A1}" name="Mês" dataDxfId="2"/>
    <tableColumn id="2" xr3:uid="{787E844F-485D-4044-A787-388D5839DC76}" name="2025 (mm)" dataDxfId="1"/>
    <tableColumn id="3" xr3:uid="{0D5C5F3B-6F9F-4CBA-BAB2-AFE3775A9D0F}" name="2026 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06EB-AF58-4A23-8965-DEF8CDB3482C}">
  <dimension ref="A45:A48"/>
  <sheetViews>
    <sheetView showGridLines="0" tabSelected="1" view="pageBreakPreview" zoomScale="70" zoomScaleNormal="55" zoomScaleSheetLayoutView="70" workbookViewId="0">
      <selection activeCell="AH43" sqref="AH43"/>
    </sheetView>
  </sheetViews>
  <sheetFormatPr defaultRowHeight="14.4" x14ac:dyDescent="0.3"/>
  <sheetData>
    <row r="45" customFormat="1" x14ac:dyDescent="0.3"/>
    <row r="46" customFormat="1" x14ac:dyDescent="0.3"/>
    <row r="48" customFormat="1" x14ac:dyDescent="0.3"/>
  </sheetData>
  <pageMargins left="0.511811024" right="0.511811024" top="0.78740157499999996" bottom="0.78740157499999996" header="0.31496062000000002" footer="0.31496062000000002"/>
  <pageSetup paperSize="9" scale="3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263D-485C-48BD-9DDE-6E479B745B44}">
  <dimension ref="C6:Q47"/>
  <sheetViews>
    <sheetView topLeftCell="A19" zoomScaleNormal="100" workbookViewId="0">
      <selection activeCell="E36" sqref="E36"/>
    </sheetView>
  </sheetViews>
  <sheetFormatPr defaultRowHeight="14.4" x14ac:dyDescent="0.3"/>
  <cols>
    <col min="3" max="3" width="10.5546875" customWidth="1"/>
    <col min="4" max="4" width="16.33203125" customWidth="1"/>
    <col min="5" max="5" width="20.6640625" customWidth="1"/>
    <col min="7" max="7" width="15.6640625" bestFit="1" customWidth="1"/>
    <col min="10" max="10" width="10.88671875" bestFit="1" customWidth="1"/>
    <col min="11" max="11" width="9.6640625" bestFit="1" customWidth="1"/>
    <col min="17" max="17" width="18.6640625" bestFit="1" customWidth="1"/>
  </cols>
  <sheetData>
    <row r="6" spans="3:17" x14ac:dyDescent="0.3">
      <c r="C6" s="6" t="s">
        <v>0</v>
      </c>
      <c r="D6" s="7"/>
      <c r="E6" s="7"/>
    </row>
    <row r="7" spans="3:17" x14ac:dyDescent="0.3">
      <c r="C7" s="1" t="s">
        <v>16</v>
      </c>
      <c r="D7" s="1" t="s">
        <v>13</v>
      </c>
      <c r="E7" s="1" t="s">
        <v>14</v>
      </c>
    </row>
    <row r="8" spans="3:17" x14ac:dyDescent="0.3">
      <c r="C8" s="1" t="s">
        <v>1</v>
      </c>
      <c r="D8" s="1">
        <v>264</v>
      </c>
      <c r="E8" s="1">
        <v>429.5</v>
      </c>
    </row>
    <row r="9" spans="3:17" x14ac:dyDescent="0.3">
      <c r="C9" s="1" t="s">
        <v>2</v>
      </c>
      <c r="D9" s="1">
        <v>37</v>
      </c>
      <c r="E9" s="1">
        <v>236.5</v>
      </c>
    </row>
    <row r="10" spans="3:17" x14ac:dyDescent="0.3">
      <c r="C10" s="1" t="s">
        <v>3</v>
      </c>
      <c r="D10" s="1">
        <v>81</v>
      </c>
      <c r="E10" s="1">
        <v>73</v>
      </c>
    </row>
    <row r="11" spans="3:17" x14ac:dyDescent="0.3">
      <c r="C11" s="1" t="s">
        <v>4</v>
      </c>
      <c r="D11" s="1">
        <v>44</v>
      </c>
      <c r="E11" s="1">
        <v>53</v>
      </c>
    </row>
    <row r="12" spans="3:17" x14ac:dyDescent="0.3">
      <c r="C12" s="1" t="s">
        <v>5</v>
      </c>
      <c r="D12" s="1">
        <v>43</v>
      </c>
      <c r="E12" s="1">
        <v>25</v>
      </c>
    </row>
    <row r="13" spans="3:17" x14ac:dyDescent="0.3">
      <c r="C13" s="1" t="s">
        <v>6</v>
      </c>
      <c r="D13" s="1">
        <v>25</v>
      </c>
      <c r="E13" s="1">
        <v>67</v>
      </c>
    </row>
    <row r="14" spans="3:17" x14ac:dyDescent="0.3">
      <c r="C14" s="1" t="s">
        <v>7</v>
      </c>
      <c r="D14" s="1">
        <v>67</v>
      </c>
      <c r="E14" s="1">
        <v>48</v>
      </c>
    </row>
    <row r="15" spans="3:17" x14ac:dyDescent="0.3">
      <c r="C15" s="1" t="s">
        <v>8</v>
      </c>
      <c r="D15" s="1">
        <v>44</v>
      </c>
      <c r="E15" s="1">
        <v>10.5</v>
      </c>
      <c r="G15" t="s">
        <v>17</v>
      </c>
      <c r="H15">
        <f>SUM(D8:D16)</f>
        <v>620</v>
      </c>
      <c r="J15" t="s">
        <v>19</v>
      </c>
      <c r="K15">
        <f>AVERAGE(D8:D16)</f>
        <v>68.888888888888886</v>
      </c>
      <c r="M15" t="s">
        <v>21</v>
      </c>
      <c r="N15" t="str">
        <f>IF(H15=0,"—",IF((H16/H15)-1&gt;=0,"▲ "&amp;TEXT((H16/H15)-1,"0,00%"),"▼ "&amp;TEXT(ABS((H16/H15)-1),"0,00%")))</f>
        <v>▲ 61,17%</v>
      </c>
      <c r="P15" t="s">
        <v>22</v>
      </c>
      <c r="Q15" t="str">
        <f>INDEX(C8:C19,MATCH(MAX(D8:D19),D8:D19,0))&amp;" "&amp;TEXT(MAX(D8:D19),"0,00")&amp;" mm"</f>
        <v>Janeiro 264,00 mm</v>
      </c>
    </row>
    <row r="16" spans="3:17" x14ac:dyDescent="0.3">
      <c r="C16" s="1" t="s">
        <v>9</v>
      </c>
      <c r="D16" s="1">
        <v>15</v>
      </c>
      <c r="E16" s="1">
        <v>56.75</v>
      </c>
      <c r="G16" t="s">
        <v>18</v>
      </c>
      <c r="H16">
        <f>SUM(E8:E16)</f>
        <v>999.25</v>
      </c>
      <c r="J16" t="s">
        <v>20</v>
      </c>
      <c r="K16" s="3">
        <f>AVERAGE(E8:E16)</f>
        <v>111.02777777777777</v>
      </c>
      <c r="P16" t="s">
        <v>23</v>
      </c>
      <c r="Q16" t="str">
        <f>INDEX(C8:C16,MATCH(MAX(E8:E16),E8:E16,0))&amp;" "&amp;TEXT(MAX(E8:E16),"0,00")&amp;" mm"</f>
        <v>Janeiro 429,50 mm</v>
      </c>
    </row>
    <row r="17" spans="3:5" x14ac:dyDescent="0.3">
      <c r="C17" s="1" t="s">
        <v>10</v>
      </c>
      <c r="D17" s="1">
        <v>51.75</v>
      </c>
      <c r="E17" s="1"/>
    </row>
    <row r="18" spans="3:5" x14ac:dyDescent="0.3">
      <c r="C18" s="1" t="s">
        <v>11</v>
      </c>
      <c r="D18" s="1">
        <v>129</v>
      </c>
      <c r="E18" s="1"/>
    </row>
    <row r="19" spans="3:5" x14ac:dyDescent="0.3">
      <c r="C19" s="1" t="s">
        <v>12</v>
      </c>
      <c r="D19" s="1">
        <v>212.5</v>
      </c>
      <c r="E19" s="1"/>
    </row>
    <row r="26" spans="3:5" x14ac:dyDescent="0.3">
      <c r="C26" s="6" t="s">
        <v>15</v>
      </c>
      <c r="D26" s="7"/>
      <c r="E26" s="7"/>
    </row>
    <row r="27" spans="3:5" x14ac:dyDescent="0.3">
      <c r="C27" s="2" t="s">
        <v>16</v>
      </c>
      <c r="D27" s="2" t="s">
        <v>13</v>
      </c>
      <c r="E27" s="2" t="s">
        <v>14</v>
      </c>
    </row>
    <row r="28" spans="3:5" x14ac:dyDescent="0.3">
      <c r="C28" s="2" t="s">
        <v>1</v>
      </c>
      <c r="D28" s="2">
        <v>265</v>
      </c>
      <c r="E28" s="2">
        <v>409.25</v>
      </c>
    </row>
    <row r="29" spans="3:5" x14ac:dyDescent="0.3">
      <c r="C29" s="2" t="s">
        <v>2</v>
      </c>
      <c r="D29" s="2">
        <v>37</v>
      </c>
      <c r="E29" s="2">
        <v>198.75</v>
      </c>
    </row>
    <row r="30" spans="3:5" x14ac:dyDescent="0.3">
      <c r="C30" s="2" t="s">
        <v>3</v>
      </c>
      <c r="D30" s="2">
        <v>80.5</v>
      </c>
      <c r="E30" s="2">
        <v>50</v>
      </c>
    </row>
    <row r="31" spans="3:5" x14ac:dyDescent="0.3">
      <c r="C31" s="2" t="s">
        <v>4</v>
      </c>
      <c r="D31" s="2">
        <v>49</v>
      </c>
      <c r="E31" s="2">
        <v>14.75</v>
      </c>
    </row>
    <row r="32" spans="3:5" x14ac:dyDescent="0.3">
      <c r="C32" s="2" t="s">
        <v>5</v>
      </c>
      <c r="D32" s="2">
        <v>35</v>
      </c>
      <c r="E32" s="2">
        <v>56</v>
      </c>
    </row>
    <row r="33" spans="3:17" x14ac:dyDescent="0.3">
      <c r="C33" s="2" t="s">
        <v>6</v>
      </c>
      <c r="D33" s="2">
        <v>26</v>
      </c>
      <c r="E33" s="2">
        <v>58</v>
      </c>
    </row>
    <row r="34" spans="3:17" x14ac:dyDescent="0.3">
      <c r="C34" s="2" t="s">
        <v>7</v>
      </c>
      <c r="D34" s="2">
        <v>19</v>
      </c>
      <c r="E34" s="2">
        <v>25</v>
      </c>
    </row>
    <row r="35" spans="3:17" x14ac:dyDescent="0.3">
      <c r="C35" s="2" t="s">
        <v>8</v>
      </c>
      <c r="D35" s="2">
        <v>33</v>
      </c>
      <c r="E35" s="2">
        <v>44</v>
      </c>
      <c r="G35" t="s">
        <v>17</v>
      </c>
      <c r="H35" s="5">
        <f>SUM(D28:D36)</f>
        <v>554.75</v>
      </c>
      <c r="J35" t="s">
        <v>19</v>
      </c>
      <c r="K35" s="3">
        <f>AVERAGE(D28:D36)</f>
        <v>61.638888888888886</v>
      </c>
      <c r="M35" t="s">
        <v>21</v>
      </c>
      <c r="N35" t="str">
        <f>IF(H35=0,"—",IF((H36/H35)-1&gt;=0,"▲ "&amp;TEXT((H36/H35)-1,"0,00%"),"▼ "&amp;TEXT(ABS((H36/H35)-1),"0,00%")))</f>
        <v>▲ 63,72%</v>
      </c>
      <c r="P35" t="s">
        <v>22</v>
      </c>
      <c r="Q35" t="str">
        <f>INDEX(C28:C36,MATCH(MAX(D28:D36),D28:D36,0))&amp;"  "&amp;TEXT(MAX(D28:D36),"0,00")&amp;" mm"</f>
        <v>Janeiro  265,00 mm</v>
      </c>
    </row>
    <row r="36" spans="3:17" x14ac:dyDescent="0.3">
      <c r="C36" s="2" t="s">
        <v>9</v>
      </c>
      <c r="D36" s="2">
        <v>10.25</v>
      </c>
      <c r="E36" s="2">
        <v>52.5</v>
      </c>
      <c r="G36" t="s">
        <v>18</v>
      </c>
      <c r="H36">
        <f>SUM(E28:E36)</f>
        <v>908.25</v>
      </c>
      <c r="J36" t="s">
        <v>20</v>
      </c>
      <c r="K36" s="3">
        <f>AVERAGE(E28:E36)</f>
        <v>100.91666666666667</v>
      </c>
      <c r="P36" t="s">
        <v>23</v>
      </c>
      <c r="Q36" t="str">
        <f>INDEX(C28:C36,MATCH(MAX(E28:E36),E28:E36,0))&amp;"  "&amp;TEXT(MAX(E28:E36),"0,00")&amp;" mm"</f>
        <v>Janeiro  409,25 mm</v>
      </c>
    </row>
    <row r="37" spans="3:17" x14ac:dyDescent="0.3">
      <c r="C37" s="2" t="s">
        <v>10</v>
      </c>
      <c r="D37" s="2">
        <v>48.75</v>
      </c>
      <c r="E37" s="1"/>
    </row>
    <row r="38" spans="3:17" x14ac:dyDescent="0.3">
      <c r="C38" s="2" t="s">
        <v>11</v>
      </c>
      <c r="D38" s="2">
        <v>125.5</v>
      </c>
      <c r="E38" s="1"/>
    </row>
    <row r="39" spans="3:17" x14ac:dyDescent="0.3">
      <c r="C39" s="2" t="s">
        <v>12</v>
      </c>
      <c r="D39" s="2">
        <v>298</v>
      </c>
      <c r="E39" s="1"/>
    </row>
    <row r="47" spans="3:17" x14ac:dyDescent="0.3">
      <c r="G47" s="4">
        <f ca="1">TODAY()</f>
        <v>46308</v>
      </c>
    </row>
  </sheetData>
  <mergeCells count="2">
    <mergeCell ref="C6:E6"/>
    <mergeCell ref="C26:E26"/>
  </mergeCells>
  <phoneticPr fontId="2" type="noConversion"/>
  <pageMargins left="0.511811024" right="0.511811024" top="0.78740157499999996" bottom="0.78740157499999996" header="0.31496062000000002" footer="0.31496062000000002"/>
  <ignoredErrors>
    <ignoredError sqref="Q35" formulaRange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Fagundes Pires De Lima - Wsp</dc:creator>
  <cp:lastModifiedBy>Jhonatan Fagundes</cp:lastModifiedBy>
  <dcterms:created xsi:type="dcterms:W3CDTF">2026-09-21T10:31:43Z</dcterms:created>
  <dcterms:modified xsi:type="dcterms:W3CDTF">2026-10-14T01:45:36Z</dcterms:modified>
</cp:coreProperties>
</file>